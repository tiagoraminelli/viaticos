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ela\Desktop\"/>
    </mc:Choice>
  </mc:AlternateContent>
  <bookViews>
    <workbookView xWindow="-120" yWindow="-120" windowWidth="20730" windowHeight="11040" tabRatio="939"/>
  </bookViews>
  <sheets>
    <sheet name="LIQUIDACIÓN" sheetId="1" r:id="rId1"/>
    <sheet name="DETALLE" sheetId="2" r:id="rId2"/>
    <sheet name="USPRUNG" sheetId="24" state="hidden" r:id="rId3"/>
    <sheet name="TOLEDO" sheetId="57" r:id="rId4"/>
    <sheet name="LODI" sheetId="23" r:id="rId5"/>
    <sheet name="CURBELA E" sheetId="70" r:id="rId6"/>
    <sheet name="OLIVARES M" sheetId="54" r:id="rId7"/>
    <sheet name="FONTANELLAZ C" sheetId="82" r:id="rId8"/>
    <sheet name="ALEJANDRO J" sheetId="3" r:id="rId9"/>
    <sheet name="MATEOS" sheetId="35" r:id="rId10"/>
    <sheet name="RAMA M" sheetId="5" r:id="rId11"/>
    <sheet name="MATEOS J C" sheetId="6" state="hidden" r:id="rId12"/>
    <sheet name="LAGGER H" sheetId="7" r:id="rId13"/>
    <sheet name="TREJO" sheetId="34" state="hidden" r:id="rId14"/>
    <sheet name="AVALOS" sheetId="20" state="hidden" r:id="rId15"/>
    <sheet name="MIRANDA" sheetId="22" state="hidden" r:id="rId16"/>
    <sheet name="YEATES" sheetId="25" r:id="rId17"/>
    <sheet name="CANEPA" sheetId="21" r:id="rId18"/>
    <sheet name="BARBAGLIA L" sheetId="8" r:id="rId19"/>
    <sheet name="ORIETA" sheetId="29" r:id="rId20"/>
    <sheet name="ORDOÑEZ S" sheetId="49" r:id="rId21"/>
    <sheet name="RAMIREZ" sheetId="50" r:id="rId22"/>
    <sheet name="LOPEZE" sheetId="41" r:id="rId23"/>
    <sheet name="ACEBAL" sheetId="40" r:id="rId24"/>
    <sheet name="LOPEZ " sheetId="16" state="hidden" r:id="rId25"/>
    <sheet name=" AVALOS VER" sheetId="59" r:id="rId26"/>
    <sheet name="OVIEDO R" sheetId="10" r:id="rId27"/>
    <sheet name="MIRANDA S" sheetId="81" r:id="rId28"/>
    <sheet name="VIVIANI" sheetId="55" r:id="rId29"/>
    <sheet name="MUGA" sheetId="39" r:id="rId30"/>
    <sheet name="DOBANTON" sheetId="77" r:id="rId31"/>
    <sheet name="BERTUZZI S" sheetId="46" r:id="rId32"/>
    <sheet name="DIAZ BELEN" sheetId="56" r:id="rId33"/>
    <sheet name="Gráfico1" sheetId="53" r:id="rId34"/>
    <sheet name="BORSINI" sheetId="83" r:id="rId35"/>
    <sheet name="CATTANEO" sheetId="52" r:id="rId36"/>
    <sheet name="CROISANT" sheetId="78" r:id="rId37"/>
    <sheet name="BACAJIMENEZ" sheetId="73" r:id="rId38"/>
    <sheet name="DE NAPOLI" sheetId="60" r:id="rId39"/>
    <sheet name="ARGAÑARAZ" sheetId="47" r:id="rId40"/>
    <sheet name="AMBROSINI" sheetId="61" r:id="rId41"/>
    <sheet name="FERNANDEZ N" sheetId="64" r:id="rId42"/>
    <sheet name="NICOLA" sheetId="62" r:id="rId43"/>
    <sheet name="SUAREZ" sheetId="63" r:id="rId44"/>
    <sheet name="EYVASTRE" sheetId="48" r:id="rId45"/>
    <sheet name="OBATTA" sheetId="69" r:id="rId46"/>
    <sheet name="VASCHUK" sheetId="72" r:id="rId47"/>
    <sheet name="CRESPO" sheetId="74" r:id="rId48"/>
    <sheet name="PORTILLO" sheetId="76" r:id="rId49"/>
    <sheet name="LOPEZ A" sheetId="75" r:id="rId50"/>
    <sheet name="IMHOFF ANA" sheetId="79" r:id="rId51"/>
    <sheet name="LOPEZ ALEJANDRA" sheetId="18" state="hidden" r:id="rId52"/>
    <sheet name="ALVAREZ" sheetId="19" state="hidden" r:id="rId53"/>
  </sheets>
  <definedNames>
    <definedName name="_xlnm._FilterDatabase" localSheetId="0" hidden="1">LIQUIDACIÓN!$M$1:$M$89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2" l="1"/>
  <c r="I12" i="61"/>
  <c r="F26" i="2"/>
  <c r="I12" i="62"/>
  <c r="F22" i="2"/>
  <c r="I12" i="48"/>
  <c r="I12" i="60"/>
  <c r="I12" i="52"/>
  <c r="F21" i="2"/>
  <c r="I12" i="83"/>
  <c r="I31" i="83"/>
  <c r="F25" i="2"/>
  <c r="I12" i="73"/>
  <c r="F19" i="2" l="1"/>
  <c r="F16" i="2"/>
  <c r="F15" i="2"/>
  <c r="F14" i="2"/>
  <c r="I12" i="8"/>
  <c r="I30" i="23"/>
  <c r="P54" i="1"/>
  <c r="K54" i="1"/>
  <c r="N54" i="1" s="1"/>
  <c r="K53" i="1"/>
  <c r="K52" i="1"/>
  <c r="N52" i="1" s="1"/>
  <c r="K51" i="1"/>
  <c r="N51" i="1" s="1"/>
  <c r="K50" i="1"/>
  <c r="N50" i="1" s="1"/>
  <c r="K49" i="1"/>
  <c r="N49" i="1" s="1"/>
  <c r="K48" i="1"/>
  <c r="N48" i="1" s="1"/>
  <c r="P47" i="1"/>
  <c r="K47" i="1"/>
  <c r="N47" i="1" s="1"/>
  <c r="P45" i="1"/>
  <c r="K45" i="1"/>
  <c r="N45" i="1" s="1"/>
  <c r="K46" i="1"/>
  <c r="N46" i="1" s="1"/>
  <c r="P44" i="1"/>
  <c r="K44" i="1"/>
  <c r="N44" i="1" s="1"/>
  <c r="K43" i="1"/>
  <c r="N43" i="1" s="1"/>
  <c r="K42" i="1"/>
  <c r="K41" i="1"/>
  <c r="N41" i="1" s="1"/>
  <c r="K40" i="1"/>
  <c r="N40" i="1" s="1"/>
  <c r="K38" i="1"/>
  <c r="K39" i="1"/>
  <c r="N39" i="1" s="1"/>
  <c r="K37" i="1"/>
  <c r="N37" i="1" s="1"/>
  <c r="P36" i="1"/>
  <c r="K36" i="1"/>
  <c r="N36" i="1" s="1"/>
  <c r="K35" i="1"/>
  <c r="N35" i="1" s="1"/>
  <c r="K34" i="1"/>
  <c r="N34" i="1" s="1"/>
  <c r="K33" i="1"/>
  <c r="N33" i="1" s="1"/>
  <c r="K32" i="1"/>
  <c r="N32" i="1" s="1"/>
  <c r="K31" i="1"/>
  <c r="N31" i="1" s="1"/>
  <c r="K30" i="1"/>
  <c r="K29" i="1"/>
  <c r="N29" i="1" s="1"/>
  <c r="K28" i="1"/>
  <c r="N28" i="1" s="1"/>
  <c r="K27" i="1"/>
  <c r="N27" i="1" s="1"/>
  <c r="K26" i="1"/>
  <c r="K25" i="1"/>
  <c r="K24" i="1"/>
  <c r="N24" i="1" s="1"/>
  <c r="K23" i="1"/>
  <c r="N23" i="1" s="1"/>
  <c r="P22" i="1"/>
  <c r="K22" i="1"/>
  <c r="N22" i="1" s="1"/>
  <c r="K21" i="1"/>
  <c r="K20" i="1"/>
  <c r="K8" i="1"/>
  <c r="K19" i="1"/>
  <c r="K18" i="1" l="1"/>
  <c r="N18" i="1" s="1"/>
  <c r="K17" i="1"/>
  <c r="N17" i="1" s="1"/>
  <c r="K16" i="1"/>
  <c r="N16" i="1" s="1"/>
  <c r="K15" i="1"/>
  <c r="N15" i="1" s="1"/>
  <c r="P13" i="1"/>
  <c r="K14" i="1"/>
  <c r="N14" i="1" s="1"/>
  <c r="K13" i="1"/>
  <c r="K12" i="1"/>
  <c r="N13" i="1" s="1"/>
  <c r="K11" i="1"/>
  <c r="N11" i="1" s="1"/>
  <c r="K10" i="1"/>
  <c r="N10" i="1" s="1"/>
  <c r="N12" i="1" l="1"/>
  <c r="I12" i="76"/>
  <c r="I12" i="64"/>
  <c r="I12" i="56"/>
  <c r="I12" i="46"/>
  <c r="I30" i="82"/>
  <c r="F13" i="2" s="1"/>
  <c r="I9" i="70"/>
  <c r="I33" i="81" l="1"/>
  <c r="K4" i="1" l="1"/>
  <c r="I12" i="79" l="1"/>
  <c r="I31" i="79"/>
  <c r="I12" i="78" l="1"/>
  <c r="I31" i="78"/>
  <c r="A9" i="78"/>
  <c r="I12" i="74"/>
  <c r="I12" i="29"/>
  <c r="I33" i="77"/>
  <c r="A9" i="77"/>
  <c r="I31" i="76" l="1"/>
  <c r="I12" i="69" l="1"/>
  <c r="I12" i="25" l="1"/>
  <c r="I31" i="75"/>
  <c r="I31" i="74"/>
  <c r="I31" i="73"/>
  <c r="A9" i="73"/>
  <c r="I31" i="72" l="1"/>
  <c r="I30" i="70"/>
  <c r="I31" i="69" l="1"/>
  <c r="I32" i="35" l="1"/>
  <c r="F12" i="2" s="1"/>
  <c r="I31" i="64"/>
  <c r="I12" i="63"/>
  <c r="I31" i="63"/>
  <c r="I31" i="62"/>
  <c r="I31" i="60"/>
  <c r="F23" i="2" s="1"/>
  <c r="I31" i="61"/>
  <c r="A38" i="59" l="1"/>
  <c r="I33" i="59"/>
  <c r="I30" i="3"/>
  <c r="F7" i="2" s="1"/>
  <c r="I30" i="57" l="1"/>
  <c r="F8" i="2" s="1"/>
  <c r="I31" i="56"/>
  <c r="A9" i="56"/>
  <c r="I12" i="47"/>
  <c r="I33" i="55"/>
  <c r="F20" i="2" s="1"/>
  <c r="A9" i="55"/>
  <c r="I9" i="7"/>
  <c r="I30" i="5" l="1"/>
  <c r="F11" i="2" s="1"/>
  <c r="I30" i="54" l="1"/>
  <c r="F10" i="2" s="1"/>
  <c r="I31" i="46" l="1"/>
  <c r="I12" i="39" l="1"/>
  <c r="I32" i="8"/>
  <c r="I31" i="52" l="1"/>
  <c r="F24" i="2" s="1"/>
  <c r="A9" i="52"/>
  <c r="I32" i="50"/>
  <c r="F18" i="2" s="1"/>
  <c r="I33" i="49"/>
  <c r="A9" i="49"/>
  <c r="I33" i="40" l="1"/>
  <c r="F9" i="2"/>
  <c r="I31" i="48"/>
  <c r="A9" i="48"/>
  <c r="I31" i="47"/>
  <c r="A9" i="47"/>
  <c r="A6" i="7" l="1"/>
  <c r="K7" i="1" l="1"/>
  <c r="N7" i="1" s="1"/>
  <c r="I31" i="7"/>
  <c r="I33" i="39"/>
  <c r="I33" i="10"/>
  <c r="I33" i="41"/>
  <c r="I33" i="29"/>
  <c r="I31" i="21"/>
  <c r="F17" i="2" s="1"/>
  <c r="I31" i="25"/>
  <c r="I9" i="34"/>
  <c r="A38" i="40"/>
  <c r="A9" i="39"/>
  <c r="A9" i="29"/>
  <c r="A39" i="34"/>
  <c r="A6" i="34"/>
  <c r="K5" i="1"/>
  <c r="N5" i="1" s="1"/>
  <c r="K6" i="1"/>
  <c r="K9" i="1"/>
  <c r="N9" i="1" s="1"/>
  <c r="A9" i="25"/>
  <c r="A40" i="24"/>
  <c r="A6" i="24"/>
  <c r="I12" i="22"/>
  <c r="I33" i="22" s="1"/>
  <c r="I12" i="18"/>
  <c r="I12" i="19"/>
  <c r="I30" i="6"/>
  <c r="A39" i="22"/>
  <c r="A9" i="22"/>
  <c r="I12" i="16"/>
  <c r="I12" i="20"/>
  <c r="I33" i="20" s="1"/>
  <c r="A39" i="20"/>
  <c r="A9" i="20"/>
  <c r="N6" i="1" l="1"/>
  <c r="F29" i="2"/>
  <c r="K77" i="1"/>
  <c r="A38" i="19"/>
  <c r="A38" i="18"/>
  <c r="A40" i="16"/>
  <c r="A9" i="19"/>
  <c r="A9" i="18"/>
  <c r="A9" i="16"/>
  <c r="A9" i="8"/>
  <c r="A6" i="6"/>
  <c r="I31" i="18"/>
  <c r="I31" i="19"/>
  <c r="I33" i="16" l="1"/>
  <c r="N77" i="1" l="1"/>
  <c r="P77" i="1" l="1"/>
  <c r="K78" i="1" l="1"/>
  <c r="L78" i="1" s="1"/>
</calcChain>
</file>

<file path=xl/comments1.xml><?xml version="1.0" encoding="utf-8"?>
<comments xmlns="http://schemas.openxmlformats.org/spreadsheetml/2006/main">
  <authors>
    <author>Romina</author>
  </authors>
  <commentList>
    <comment ref="M8" authorId="0" shapeId="0">
      <text>
        <r>
          <rPr>
            <b/>
            <sz val="9"/>
            <color indexed="81"/>
            <rFont val="Tahoma"/>
            <family val="2"/>
          </rPr>
          <t>Romina:</t>
        </r>
        <r>
          <rPr>
            <sz val="9"/>
            <color indexed="81"/>
            <rFont val="Tahoma"/>
            <family val="2"/>
          </rPr>
          <t xml:space="preserve">
PREGUNTAR</t>
        </r>
      </text>
    </comment>
    <comment ref="O42" authorId="0" shapeId="0">
      <text>
        <r>
          <rPr>
            <b/>
            <sz val="9"/>
            <color indexed="81"/>
            <rFont val="Tahoma"/>
            <family val="2"/>
          </rPr>
          <t>Romina:</t>
        </r>
        <r>
          <rPr>
            <sz val="9"/>
            <color indexed="81"/>
            <rFont val="Tahoma"/>
            <family val="2"/>
          </rPr>
          <t xml:space="preserve">
FACTURAR</t>
        </r>
      </text>
    </comment>
  </commentList>
</comments>
</file>

<file path=xl/sharedStrings.xml><?xml version="1.0" encoding="utf-8"?>
<sst xmlns="http://schemas.openxmlformats.org/spreadsheetml/2006/main" count="2397" uniqueCount="458">
  <si>
    <t>MISIÓN</t>
  </si>
  <si>
    <t>MISIÒN</t>
  </si>
  <si>
    <t>SALIDA</t>
  </si>
  <si>
    <t>DIA</t>
  </si>
  <si>
    <t>MES</t>
  </si>
  <si>
    <t>HORA</t>
  </si>
  <si>
    <t>REGRESO</t>
  </si>
  <si>
    <t>VIÁTICO</t>
  </si>
  <si>
    <t>DIAS</t>
  </si>
  <si>
    <t>CUOTA</t>
  </si>
  <si>
    <t>IMPORTE</t>
  </si>
  <si>
    <t>CHOFER</t>
  </si>
  <si>
    <t>MÉD/ADM.</t>
  </si>
  <si>
    <t>RELACION DE GASTOS PARA HOSPITAL JULIO CESAR VILLANUEVA</t>
  </si>
  <si>
    <t>DE SAN CRISTÓBAL</t>
  </si>
  <si>
    <t>PARTIDA PARCIAL</t>
  </si>
  <si>
    <t>Racionamiento</t>
  </si>
  <si>
    <t>Bienes</t>
  </si>
  <si>
    <t>Servicios</t>
  </si>
  <si>
    <t>X</t>
  </si>
  <si>
    <t>PROVEEDOR</t>
  </si>
  <si>
    <t>FECHA</t>
  </si>
  <si>
    <t>COMPROBANTE</t>
  </si>
  <si>
    <t>NRO.CHEQUE</t>
  </si>
  <si>
    <t>FOLIO</t>
  </si>
  <si>
    <t>ALEJANDRO JOSÉ</t>
  </si>
  <si>
    <t>Planilla de viáticos</t>
  </si>
  <si>
    <t>BARBAGLIA LORENA</t>
  </si>
  <si>
    <r>
      <t xml:space="preserve">DIRECCION: </t>
    </r>
    <r>
      <rPr>
        <sz val="11"/>
        <color indexed="8"/>
        <rFont val="Arial"/>
        <family val="2"/>
      </rPr>
      <t xml:space="preserve">COCHABAMBA 1456 - SAN CRISTOBAL </t>
    </r>
  </si>
  <si>
    <t>CARGO</t>
  </si>
  <si>
    <r>
      <t>MISION:</t>
    </r>
    <r>
      <rPr>
        <sz val="11"/>
        <color indexed="8"/>
        <rFont val="Arial"/>
        <family val="2"/>
      </rPr>
      <t xml:space="preserve">  PACIENTES VARIOS</t>
    </r>
  </si>
  <si>
    <t>ITEM</t>
  </si>
  <si>
    <t>SUELDO</t>
  </si>
  <si>
    <t>OBSERVACIONES</t>
  </si>
  <si>
    <t>DÍAS</t>
  </si>
  <si>
    <t>N° COMPROBANTE</t>
  </si>
  <si>
    <t>DETALLE</t>
  </si>
  <si>
    <t>TOTAL $</t>
  </si>
  <si>
    <t>FIRMA SUPERIOR</t>
  </si>
  <si>
    <t>RECIBI EL IMPORTE QUE ARROJA LA PLANILLA</t>
  </si>
  <si>
    <t>FIRMA EMPLEADO</t>
  </si>
  <si>
    <t>AGENTE: MATEOS JUAN CRUZ</t>
  </si>
  <si>
    <t>AGENTE: RAMA MANUEL</t>
  </si>
  <si>
    <t>AGENTE: ALEJANDRO JOSÉ</t>
  </si>
  <si>
    <t>COMISIÓN DE SERVICIO - VIÁTICOS Y GASTOS</t>
  </si>
  <si>
    <t>MINISTERIO DE SALUD - HOSPITAL SAN CRISTOBAL</t>
  </si>
  <si>
    <t xml:space="preserve">ENFERMERA </t>
  </si>
  <si>
    <t xml:space="preserve">TOTAL </t>
  </si>
  <si>
    <t>AGENTE: OVIEDO ROSANA</t>
  </si>
  <si>
    <t>MEDICO</t>
  </si>
  <si>
    <r>
      <t>MISION:</t>
    </r>
    <r>
      <rPr>
        <sz val="11"/>
        <color indexed="8"/>
        <rFont val="Arial"/>
        <family val="2"/>
      </rPr>
      <t xml:space="preserve">  COMISION DE SERVICIO</t>
    </r>
  </si>
  <si>
    <t>GASTOS SIN DOCUMENTAR- 10%</t>
  </si>
  <si>
    <t>N° DE</t>
  </si>
  <si>
    <t>DESTINO</t>
  </si>
  <si>
    <t>RAFAELA</t>
  </si>
  <si>
    <t>............................................</t>
  </si>
  <si>
    <t>...................................</t>
  </si>
  <si>
    <t>.....................................</t>
  </si>
  <si>
    <t>.......................................</t>
  </si>
  <si>
    <t>......................................</t>
  </si>
  <si>
    <t>…………………………..........</t>
  </si>
  <si>
    <t>.........................................</t>
  </si>
  <si>
    <t>..........................................</t>
  </si>
  <si>
    <r>
      <t xml:space="preserve">DESTINO: </t>
    </r>
    <r>
      <rPr>
        <sz val="11"/>
        <color indexed="8"/>
        <rFont val="Arial"/>
        <family val="2"/>
      </rPr>
      <t xml:space="preserve"> RAFAELA </t>
    </r>
  </si>
  <si>
    <t>........................................</t>
  </si>
  <si>
    <r>
      <t xml:space="preserve">DESTINO:  </t>
    </r>
    <r>
      <rPr>
        <sz val="11"/>
        <color indexed="8"/>
        <rFont val="Arial"/>
        <family val="2"/>
      </rPr>
      <t xml:space="preserve">  RAFAELA </t>
    </r>
  </si>
  <si>
    <t xml:space="preserve">AGENTE: BARBAGLIA LORENA </t>
  </si>
  <si>
    <t>BARBAGLIA</t>
  </si>
  <si>
    <t>23,55</t>
  </si>
  <si>
    <t>19</t>
  </si>
  <si>
    <t>20,15</t>
  </si>
  <si>
    <t>16,30</t>
  </si>
  <si>
    <t>AGENTE: LOPEZ JORGE</t>
  </si>
  <si>
    <t>10,3</t>
  </si>
  <si>
    <t>15,00</t>
  </si>
  <si>
    <t>16,00</t>
  </si>
  <si>
    <t>4,15</t>
  </si>
  <si>
    <t>15</t>
  </si>
  <si>
    <t>CANEPA</t>
  </si>
  <si>
    <t>21,1</t>
  </si>
  <si>
    <t>01,2</t>
  </si>
  <si>
    <t>22</t>
  </si>
  <si>
    <t>04,45</t>
  </si>
  <si>
    <t>23,3</t>
  </si>
  <si>
    <t>2</t>
  </si>
  <si>
    <t>13,00</t>
  </si>
  <si>
    <t>17,00</t>
  </si>
  <si>
    <t>8,1</t>
  </si>
  <si>
    <t>12,4</t>
  </si>
  <si>
    <t>21,00</t>
  </si>
  <si>
    <t>3,3</t>
  </si>
  <si>
    <t>20,55</t>
  </si>
  <si>
    <t>19,4</t>
  </si>
  <si>
    <t>23,40</t>
  </si>
  <si>
    <t>18</t>
  </si>
  <si>
    <t>00,10</t>
  </si>
  <si>
    <t>21,5</t>
  </si>
  <si>
    <t>19,3</t>
  </si>
  <si>
    <t>16,3</t>
  </si>
  <si>
    <r>
      <t xml:space="preserve">DESTINO: </t>
    </r>
    <r>
      <rPr>
        <sz val="11"/>
        <color indexed="8"/>
        <rFont val="Arial"/>
        <family val="2"/>
      </rPr>
      <t xml:space="preserve"> SANTA FE - RAFAELA-CERES</t>
    </r>
  </si>
  <si>
    <r>
      <t xml:space="preserve">DESTINO: </t>
    </r>
    <r>
      <rPr>
        <sz val="11"/>
        <color indexed="8"/>
        <rFont val="Arial"/>
        <family val="2"/>
      </rPr>
      <t xml:space="preserve"> SANTA FE</t>
    </r>
  </si>
  <si>
    <r>
      <t xml:space="preserve">DESTINO: </t>
    </r>
    <r>
      <rPr>
        <sz val="11"/>
        <color indexed="8"/>
        <rFont val="Arial"/>
        <family val="2"/>
      </rPr>
      <t xml:space="preserve"> MORTEROS</t>
    </r>
  </si>
  <si>
    <r>
      <t>AGENTE:</t>
    </r>
    <r>
      <rPr>
        <sz val="11"/>
        <color indexed="8"/>
        <rFont val="Arial"/>
        <family val="2"/>
      </rPr>
      <t xml:space="preserve"> MIRANDA ESTELA</t>
    </r>
  </si>
  <si>
    <t xml:space="preserve">AGENTE: AVALOS VERONICA </t>
  </si>
  <si>
    <t>AGENTE: CANEPA VERONICA</t>
  </si>
  <si>
    <t>AGENTE: LOPEZ ALEJANDRA</t>
  </si>
  <si>
    <t>AGENTE: ALVAREZ VALENTINA</t>
  </si>
  <si>
    <r>
      <t xml:space="preserve">DESTINO:  </t>
    </r>
    <r>
      <rPr>
        <sz val="11"/>
        <color indexed="8"/>
        <rFont val="Arial"/>
        <family val="2"/>
      </rPr>
      <t xml:space="preserve"> SANTA FE </t>
    </r>
  </si>
  <si>
    <t>SON PESOS: QUINCE MIL DOSCIENTOS ONCE  C/25/C/100</t>
  </si>
  <si>
    <t>SON PESOS: TREINTA MIL CUATROSCIENTOS VEINTIDOS  C/50/C/100</t>
  </si>
  <si>
    <t>SON PESOS: TREINTA MIL CUATRSOCIENTOS VEINTIDOS C/50 C/100</t>
  </si>
  <si>
    <t>SON PESOS: TREINTA MIL CUATROSCIENTOS VEINTI DOS C/50 C/100</t>
  </si>
  <si>
    <t>SON PESOS :DOSCIENTOS CINCUENTA Y OCHO MIL QUINIENTOS NOVENTA Y UNO C/25/100</t>
  </si>
  <si>
    <t>SAN CRISTOBAL, MARZO DE 2025</t>
  </si>
  <si>
    <t xml:space="preserve">SANTA FE </t>
  </si>
  <si>
    <r>
      <t xml:space="preserve">DESTINO: </t>
    </r>
    <r>
      <rPr>
        <sz val="11"/>
        <color indexed="8"/>
        <rFont val="Arial"/>
        <family val="2"/>
      </rPr>
      <t xml:space="preserve"> RAFAELA - SANTA FE </t>
    </r>
  </si>
  <si>
    <t>A PARTIR DEL 1°ABRIL $ 62670</t>
  </si>
  <si>
    <t>A PARTIR DEL 1° MAYO $ 64252</t>
  </si>
  <si>
    <t>A PARTIR DEL 1° JUNIO $65712</t>
  </si>
  <si>
    <t>20,30</t>
  </si>
  <si>
    <t>21</t>
  </si>
  <si>
    <r>
      <t xml:space="preserve">DESTINO: </t>
    </r>
    <r>
      <rPr>
        <sz val="11"/>
        <color indexed="8"/>
        <rFont val="Arial"/>
        <family val="2"/>
      </rPr>
      <t xml:space="preserve"> SANTA FE - RAFAELA</t>
    </r>
  </si>
  <si>
    <t>AGENTE: LODI CRISTIAN</t>
  </si>
  <si>
    <r>
      <t xml:space="preserve">DESTINO: </t>
    </r>
    <r>
      <rPr>
        <sz val="11"/>
        <color indexed="8"/>
        <rFont val="Arial"/>
        <family val="2"/>
      </rPr>
      <t xml:space="preserve"> RAFAELA</t>
    </r>
  </si>
  <si>
    <t>19,30</t>
  </si>
  <si>
    <t>MATEOS</t>
  </si>
  <si>
    <t>14,40</t>
  </si>
  <si>
    <t>1</t>
  </si>
  <si>
    <t>1,04</t>
  </si>
  <si>
    <t>ALEJANDRO</t>
  </si>
  <si>
    <t xml:space="preserve"> </t>
  </si>
  <si>
    <t xml:space="preserve">AGENTE: YEATES VALERIA </t>
  </si>
  <si>
    <r>
      <t xml:space="preserve">DESTINO: </t>
    </r>
    <r>
      <rPr>
        <sz val="11"/>
        <color indexed="8"/>
        <rFont val="Arial"/>
        <family val="2"/>
      </rPr>
      <t xml:space="preserve"> RAFAELA - SANTA FE</t>
    </r>
  </si>
  <si>
    <t>AGENTE: USPRUNG ARIEL</t>
  </si>
  <si>
    <r>
      <t xml:space="preserve">DESTINO: </t>
    </r>
    <r>
      <rPr>
        <sz val="11"/>
        <color indexed="8"/>
        <rFont val="Arial"/>
        <family val="2"/>
      </rPr>
      <t xml:space="preserve"> RAFAELA -SANTA FE</t>
    </r>
  </si>
  <si>
    <r>
      <t xml:space="preserve">DESTINO: </t>
    </r>
    <r>
      <rPr>
        <sz val="11"/>
        <color indexed="8"/>
        <rFont val="Arial"/>
        <family val="2"/>
      </rPr>
      <t xml:space="preserve"> SANTA FE -RAFAELA</t>
    </r>
  </si>
  <si>
    <t>CANEPA VERONICA</t>
  </si>
  <si>
    <t>MATEOS JUAN CRUZ</t>
  </si>
  <si>
    <t>AGENTE: TREJO FABIAN</t>
  </si>
  <si>
    <t>AGENTE: ORIETA JORGELINA</t>
  </si>
  <si>
    <t>SON PESOS :  TREINTA Y TRES MIL OCHOCIENTOS CUARENTA Y UNO C/ 50/100</t>
  </si>
  <si>
    <t>SON PESOS : DIECISEIS MIL NOVECIENTOS VEINTE MIL C/75/100</t>
  </si>
  <si>
    <t>COMISION DE SERVICIOS</t>
  </si>
  <si>
    <t>RECIBI EL IMPORTE QUE ARROJA PLANILLA</t>
  </si>
  <si>
    <t>15.00</t>
  </si>
  <si>
    <t>AGENTE: RAMIREZ MARIA</t>
  </si>
  <si>
    <t>……………………………………….</t>
  </si>
  <si>
    <t>DESTINO:  RAFAELA - SANTA FE</t>
  </si>
  <si>
    <t xml:space="preserve">  </t>
  </si>
  <si>
    <t>10.00</t>
  </si>
  <si>
    <t>20.00</t>
  </si>
  <si>
    <t>12.00</t>
  </si>
  <si>
    <t>16.20</t>
  </si>
  <si>
    <t>AGENTE: LOPEZ SALOME</t>
  </si>
  <si>
    <t>AGENTE: MUGA ANA LAURA</t>
  </si>
  <si>
    <t>AGENTE: ORDOÑEZ MARIA SOLEDAD</t>
  </si>
  <si>
    <t>AGENTE: DR CATTANEO RICARDO</t>
  </si>
  <si>
    <t>SAN CRISTOBAL NOVIEMBRE 2025</t>
  </si>
  <si>
    <t>AGENTE: ACEBAL MICAELA</t>
  </si>
  <si>
    <t>SON PESOS: TREINTA Y SEIS MIL SETENTA Y CINCO C/50 CTVOS.-</t>
  </si>
  <si>
    <t>DESTINO: RAFAELA- SANTA FE</t>
  </si>
  <si>
    <t>…………………………..</t>
  </si>
  <si>
    <t>AGENTE: OLIVARES MARCELO</t>
  </si>
  <si>
    <t>NOVIEMBRE $ 72.151</t>
  </si>
  <si>
    <t>DICIEMBRE $ 72.808</t>
  </si>
  <si>
    <t>18.00</t>
  </si>
  <si>
    <t>22.00</t>
  </si>
  <si>
    <t>05.00</t>
  </si>
  <si>
    <t>23.20</t>
  </si>
  <si>
    <t>05.35</t>
  </si>
  <si>
    <t>VIATICOS MES DICIEMBRE 2025</t>
  </si>
  <si>
    <t>SAN CRISTOBAL DICIEMBRE 2025</t>
  </si>
  <si>
    <t>AGENTE: LAGGER HERNAN</t>
  </si>
  <si>
    <t>SON PESOS:TREINTA Y SEIS MIL CUATROSCIENTOS CUATRO C/00 CTVOS.-</t>
  </si>
  <si>
    <t>SON PESOS: CIENTO NUEVE MIL DOSCIENTOS DOCE C/00 CTVOS.-</t>
  </si>
  <si>
    <t>AGENTE: VIVIANI ARACELI</t>
  </si>
  <si>
    <t>AGENTE: ARGAÑARAZ LAURA</t>
  </si>
  <si>
    <t>MEDICA</t>
  </si>
  <si>
    <t>SON PESOS: TRESCIENTOS SEIS MIL CUATROSCIENTOS CUATRO C/ 00CTVOS.-</t>
  </si>
  <si>
    <t>AGENTE: DIAZ BELEN</t>
  </si>
  <si>
    <t>AGENTE: TOLEDO LUCIANO</t>
  </si>
  <si>
    <t>02.10</t>
  </si>
  <si>
    <t>12,00</t>
  </si>
  <si>
    <t>11,30</t>
  </si>
  <si>
    <t>RAMIREZ</t>
  </si>
  <si>
    <t>21,30</t>
  </si>
  <si>
    <t>18,30</t>
  </si>
  <si>
    <t>00,30</t>
  </si>
  <si>
    <t>06,00</t>
  </si>
  <si>
    <t>12,30</t>
  </si>
  <si>
    <t>14,00</t>
  </si>
  <si>
    <t>07,30</t>
  </si>
  <si>
    <t>SAN CRISTOBAL ENERO 2026</t>
  </si>
  <si>
    <t>AGENTE: AVALOS VERONICA</t>
  </si>
  <si>
    <t>SAN CRISTOBAL ENERO DE 2026</t>
  </si>
  <si>
    <t>RAMIREZ MARIA</t>
  </si>
  <si>
    <t>MISION: PACIENTES VARIOS</t>
  </si>
  <si>
    <t>SON PESOS: TREINTA Y SEIS MIL CUATROSCIENTOS CUATRO C/00</t>
  </si>
  <si>
    <t>AGENTE: DRA DENAPOLI CLAUDIA</t>
  </si>
  <si>
    <t>AGENTE: DRA NICOLA CAMILA</t>
  </si>
  <si>
    <t>OBSTETRA</t>
  </si>
  <si>
    <t>AGENTE: SUAREZ JUDITH</t>
  </si>
  <si>
    <t>RAMA MANUEL</t>
  </si>
  <si>
    <t>AGENTE: DR OBATTA PABLO</t>
  </si>
  <si>
    <t>07,00</t>
  </si>
  <si>
    <t>AGENTE: DR VASCHUK NICOLAS</t>
  </si>
  <si>
    <t>08,30</t>
  </si>
  <si>
    <t>17,30</t>
  </si>
  <si>
    <t>13,15</t>
  </si>
  <si>
    <t>CERES</t>
  </si>
  <si>
    <t>20,45</t>
  </si>
  <si>
    <t>18,15</t>
  </si>
  <si>
    <t>16,15</t>
  </si>
  <si>
    <t>10,00</t>
  </si>
  <si>
    <t>01,20</t>
  </si>
  <si>
    <t>16,25</t>
  </si>
  <si>
    <t>RAMA</t>
  </si>
  <si>
    <t>ENERO $72.808</t>
  </si>
  <si>
    <t>FEBRERO $72.808</t>
  </si>
  <si>
    <t>SAN CRISTOBAL FEBRERO 2026</t>
  </si>
  <si>
    <t>AGENTE: DR BACA JIMENEZ DENAS</t>
  </si>
  <si>
    <t>AGENTE: DRCRESPO TOMAS</t>
  </si>
  <si>
    <t>AGENTE: DRA LOPÉZ ALEJANDRA</t>
  </si>
  <si>
    <t>SON PESOS: SETENTA Y DOS MIL OCHOSCIENTOS OCHO C/00</t>
  </si>
  <si>
    <t>23,45</t>
  </si>
  <si>
    <t>SON PESOS:TREINTA Y SEIS MIL CUATROSCIENTOS CUATRO C/00 CTVOS</t>
  </si>
  <si>
    <t>MARZO $ 80.166</t>
  </si>
  <si>
    <t>02,10</t>
  </si>
  <si>
    <t>11,50</t>
  </si>
  <si>
    <t>18,10</t>
  </si>
  <si>
    <t>15,15</t>
  </si>
  <si>
    <t>SAN CRISTOBAL MARZO 2026</t>
  </si>
  <si>
    <t>LODI CRISTIAN</t>
  </si>
  <si>
    <t>SON PESOS:CUARENTA MIL OCHENTA Y TRES C/00CTVOS.</t>
  </si>
  <si>
    <t>ABRIL $ 81.666</t>
  </si>
  <si>
    <t>MAYO $ 83.166</t>
  </si>
  <si>
    <t>JUNIO $ 84.366</t>
  </si>
  <si>
    <t>……………………………….</t>
  </si>
  <si>
    <t>…………………………….</t>
  </si>
  <si>
    <t>19,10</t>
  </si>
  <si>
    <t>OLIVARES</t>
  </si>
  <si>
    <t>OLIVARES MARCELO</t>
  </si>
  <si>
    <t>SON PESOS:DOSCIENTOS MIL CUATROCIENTOS QUINCE C/00CTVOS.</t>
  </si>
  <si>
    <t>|</t>
  </si>
  <si>
    <t>16,50</t>
  </si>
  <si>
    <t>10,30</t>
  </si>
  <si>
    <t>13,30</t>
  </si>
  <si>
    <t>22,20</t>
  </si>
  <si>
    <t>6,00</t>
  </si>
  <si>
    <t>23,00</t>
  </si>
  <si>
    <t>3,30</t>
  </si>
  <si>
    <t>9,15</t>
  </si>
  <si>
    <t>BACAJIMENEZ</t>
  </si>
  <si>
    <t>4,30</t>
  </si>
  <si>
    <t>8,00</t>
  </si>
  <si>
    <t>SAN CRISTOBAL ABRIL 2026</t>
  </si>
  <si>
    <t>AGENTE: DOBANTON LAURA</t>
  </si>
  <si>
    <t>SAN CRISTOBAL ABRIL  2026</t>
  </si>
  <si>
    <t xml:space="preserve"> ENFERMERA</t>
  </si>
  <si>
    <t>SON PESOS:CUARENTA MIL QUINIENTOS OCHENTA Y TRES C/00 CTVOS.-</t>
  </si>
  <si>
    <t xml:space="preserve">SON PESOS: CUARENTA MIL QUINIENTOS OCHENTA Y TRES C/00 CTVOS. </t>
  </si>
  <si>
    <t xml:space="preserve">  SAN CRISTOBAL ABRIL 2026</t>
  </si>
  <si>
    <t>BACA JIMENEZ DENAS</t>
  </si>
  <si>
    <t>SON PESOS: cuarenta mil quinientos ochenta y tres C/00</t>
  </si>
  <si>
    <t>SAN CRISTOBAL abril 2026</t>
  </si>
  <si>
    <t>AGENTE: DR CROISANT ALEJANDRO</t>
  </si>
  <si>
    <t>AGENTE: IMHOFF ANA</t>
  </si>
  <si>
    <t>SON PESOS: CUARENTA MIL QUINIENTOS OCHENTA Y TRES C/00</t>
  </si>
  <si>
    <t>CATTANEO</t>
  </si>
  <si>
    <t>14,15</t>
  </si>
  <si>
    <t>2,30</t>
  </si>
  <si>
    <t>9,00</t>
  </si>
  <si>
    <t>11,40</t>
  </si>
  <si>
    <t>12,45</t>
  </si>
  <si>
    <t>18,50</t>
  </si>
  <si>
    <t>19,00</t>
  </si>
  <si>
    <t>22,00</t>
  </si>
  <si>
    <t>15,10</t>
  </si>
  <si>
    <t>21,20</t>
  </si>
  <si>
    <t>18,00</t>
  </si>
  <si>
    <t>18,45</t>
  </si>
  <si>
    <t>00,05</t>
  </si>
  <si>
    <t>12,55</t>
  </si>
  <si>
    <t>06,10</t>
  </si>
  <si>
    <t>VIVIANI</t>
  </si>
  <si>
    <t>TOLEDO</t>
  </si>
  <si>
    <t>15,20</t>
  </si>
  <si>
    <t>CORTES LUCAS</t>
  </si>
  <si>
    <t>19,45</t>
  </si>
  <si>
    <t>20,05</t>
  </si>
  <si>
    <t>VIATICOS MES MAYO 2026</t>
  </si>
  <si>
    <t>SAN CRISTOBAL MAYO 2026</t>
  </si>
  <si>
    <t>SAN CRISTOBAL MAYO  2026</t>
  </si>
  <si>
    <t>TOLEDO LUCIANO</t>
  </si>
  <si>
    <t>SON PESOS:OCHENTA Y UTRES MIL CIENTO SESENTA Y SEIS C/00 CTVOS.</t>
  </si>
  <si>
    <t>AGENTE: MIRANDA STELLA MARIS</t>
  </si>
  <si>
    <t>SAN CRISTOBAL MAYO DE 2026</t>
  </si>
  <si>
    <t>SON PESOS:CIENTO SESENTA Y SEIS MIL TRESCIENTOS TREINTA Y DOS C/00 CTVOS.-</t>
  </si>
  <si>
    <t>VIVIANI ARACELI</t>
  </si>
  <si>
    <t>AGENTE: GIRAUDO JUAN ANTONIO</t>
  </si>
  <si>
    <t>SON PESOS:CUARENTA Y UN MIL QUINIENTOS OCHENTA Y TRES  C/00 CTVO</t>
  </si>
  <si>
    <t>AGENTE: DRA BERTUZZI SOFIA</t>
  </si>
  <si>
    <t>SON PESOS: CUARENTA Y UN MIL QUINIENTOS OCHENTA Y TRES C/00 CTVOS</t>
  </si>
  <si>
    <t>CATTANEO RICARDO</t>
  </si>
  <si>
    <t>DE NAPOLI CLAUDIA</t>
  </si>
  <si>
    <t>SON PESOSCUARENTA Y UN MIL QUINIENTOS OCHENTA Y TRES C/00 CTVOS.-</t>
  </si>
  <si>
    <t>AGENTE: DRA FERNANDEZ NATALIA</t>
  </si>
  <si>
    <t>SON PESOS: CUARENTA Y UN  MIL QUINIENTOS OCHENTA Y TRES C/00</t>
  </si>
  <si>
    <t>AGENTE: DR PORTILLO NICOLAS</t>
  </si>
  <si>
    <t>SON PESOS: CUARENTA  Y UN MIL QUINIENTOS OCHENTA Y TRESS C/00</t>
  </si>
  <si>
    <t>SON PESOS: OCHENTA Y TRES MIL CIENTO SESENTA Y SEIS C/00</t>
  </si>
  <si>
    <t>SERRA GUADALUPE</t>
  </si>
  <si>
    <t>14,30</t>
  </si>
  <si>
    <t>TOSTADO</t>
  </si>
  <si>
    <t>SEGOBIA ARTURO</t>
  </si>
  <si>
    <t>04,00</t>
  </si>
  <si>
    <t>10,05</t>
  </si>
  <si>
    <t>MARIA JOSE</t>
  </si>
  <si>
    <t>01,00</t>
  </si>
  <si>
    <t>CANTRERA RUBEN</t>
  </si>
  <si>
    <t>03,45</t>
  </si>
  <si>
    <t>AGUSTINA CORONEL</t>
  </si>
  <si>
    <t>17:00</t>
  </si>
  <si>
    <t>VIVANI</t>
  </si>
  <si>
    <t>MARTINEZ JOAQUIN</t>
  </si>
  <si>
    <t>09,00</t>
  </si>
  <si>
    <t>15.15</t>
  </si>
  <si>
    <t>MERELES FACUNDO</t>
  </si>
  <si>
    <t>02,00</t>
  </si>
  <si>
    <t>RIOS ANDREA</t>
  </si>
  <si>
    <t>SOSA LUDMILA</t>
  </si>
  <si>
    <t>GONZALES GLADIS</t>
  </si>
  <si>
    <t>10,40</t>
  </si>
  <si>
    <t>JUAREZ NANCY</t>
  </si>
  <si>
    <t>VERCELANE FACUNDO</t>
  </si>
  <si>
    <t>TORRES JONAS</t>
  </si>
  <si>
    <t>04,15</t>
  </si>
  <si>
    <t>VERON ROSA ISABEL</t>
  </si>
  <si>
    <t>CORREA EMILIO</t>
  </si>
  <si>
    <t>05,30</t>
  </si>
  <si>
    <t>MUÑOZ MANUEL</t>
  </si>
  <si>
    <t>21,15</t>
  </si>
  <si>
    <t>CRISTIAN</t>
  </si>
  <si>
    <t>CAULA OLIVA</t>
  </si>
  <si>
    <t>16,10</t>
  </si>
  <si>
    <t>DE NAPOLI</t>
  </si>
  <si>
    <t>ROFT CLARA</t>
  </si>
  <si>
    <t>SABA GUILLERMO</t>
  </si>
  <si>
    <t>08,50</t>
  </si>
  <si>
    <t>ZARATE FATIMA</t>
  </si>
  <si>
    <t>08,00</t>
  </si>
  <si>
    <t>11,00</t>
  </si>
  <si>
    <t>17,40</t>
  </si>
  <si>
    <t>CASTILLO GONZALES</t>
  </si>
  <si>
    <t>12,20</t>
  </si>
  <si>
    <t xml:space="preserve">CORREA EZEQUIEL </t>
  </si>
  <si>
    <t>15,30</t>
  </si>
  <si>
    <t>BRACACCINI ENZO</t>
  </si>
  <si>
    <t>20,40</t>
  </si>
  <si>
    <t>17,15</t>
  </si>
  <si>
    <t>OJEDA FAUSTO</t>
  </si>
  <si>
    <t>03,30</t>
  </si>
  <si>
    <t>FONTANELLAZ</t>
  </si>
  <si>
    <t>VELAZQUEZ NICOLE</t>
  </si>
  <si>
    <t>22,15</t>
  </si>
  <si>
    <t>05,00</t>
  </si>
  <si>
    <t>DOBANTON</t>
  </si>
  <si>
    <t>MUGNA MARIA</t>
  </si>
  <si>
    <t>15.20</t>
  </si>
  <si>
    <t>BORSINI</t>
  </si>
  <si>
    <t>LAGGER JOSEFIN</t>
  </si>
  <si>
    <t>CORONEL FLORENCIA</t>
  </si>
  <si>
    <t>ZALAZAR GONZALO</t>
  </si>
  <si>
    <t xml:space="preserve">FERNANDEZ JESICA </t>
  </si>
  <si>
    <t>00,35</t>
  </si>
  <si>
    <t>DELFINA YESICA</t>
  </si>
  <si>
    <t>TORRE ADRIDNA</t>
  </si>
  <si>
    <t>CARLOS FRANCO</t>
  </si>
  <si>
    <t>ORDEÑEZ S</t>
  </si>
  <si>
    <t>EYVASTRE</t>
  </si>
  <si>
    <t>SOSA CARLOS</t>
  </si>
  <si>
    <t>SOUPLET MARTINA</t>
  </si>
  <si>
    <t>00,40</t>
  </si>
  <si>
    <t xml:space="preserve">PANCHERI JOSE </t>
  </si>
  <si>
    <t>03,10</t>
  </si>
  <si>
    <t>09,20</t>
  </si>
  <si>
    <t>VALLI LARA</t>
  </si>
  <si>
    <t>BULACIO NELDA</t>
  </si>
  <si>
    <t>03,00</t>
  </si>
  <si>
    <t>09,15</t>
  </si>
  <si>
    <t>JUAREZ HERNAN</t>
  </si>
  <si>
    <t>15,50</t>
  </si>
  <si>
    <t>RODRIGUEZ JOAQUIN</t>
  </si>
  <si>
    <t>ZABALA PEDRO</t>
  </si>
  <si>
    <t>RUVATTA GRACIELA</t>
  </si>
  <si>
    <t>06,30</t>
  </si>
  <si>
    <t>NICOLA</t>
  </si>
  <si>
    <t>VIATICOS MES DE JUNIO 2026</t>
  </si>
  <si>
    <t>SAN CRISTOBAL, JUNIO DE 2026</t>
  </si>
  <si>
    <t>VIATICOS MES JUNIO 2026</t>
  </si>
  <si>
    <t>SAN CRISTOBAL JUNIO  2026</t>
  </si>
  <si>
    <t>Viáticos JUNIO 2026</t>
  </si>
  <si>
    <t>SON PESOS: CIENTO SESENTA Y OCHO MIL SETECIENTOS TREINTA Y DOS C/00 CTVOS</t>
  </si>
  <si>
    <t>SON PESOS: QUINIENTOS SEIS MIL CIENTO NOVENTA Y SEIS C/00 CTVOS</t>
  </si>
  <si>
    <t>SAN CRISTOBAL JUNIO 2026</t>
  </si>
  <si>
    <t>SON PESOS: CIENTO VEINTISÉIS MIL QUINIENTOS CUARENTA Y NUEVE
 C/00 CTVOS.-</t>
  </si>
  <si>
    <t>SAN CRISTÓBAL, JUNIO DE 2026</t>
  </si>
  <si>
    <t>SON PESOS: DOSCIENTOS CINCUENTA Y TRES MIL NOVENTA Y OCHO C/00 CTVOS</t>
  </si>
  <si>
    <t>AGENTE: FONTANELLAZ CLAUDIO</t>
  </si>
  <si>
    <t>FONTANELLAZ CLAUDIO</t>
  </si>
  <si>
    <t>SON PESOS: CUARENTA Y DOS MIL CIENTO OCHENTA Y TRES C/00 CTVOS.</t>
  </si>
  <si>
    <t>31/06/2026</t>
  </si>
  <si>
    <t>SON PESOS: OCHENTA Y CUATRO MIL TRESCIENTOS SESENTA Y SEIS C/50 CTVOS.-</t>
  </si>
  <si>
    <t>DOBANTON LAURA</t>
  </si>
  <si>
    <t>ORDOÑEZ MARIA SOLEDAD</t>
  </si>
  <si>
    <t>LOPEZE SALOME</t>
  </si>
  <si>
    <t>SON PESOS:TRESCIENTOS TREINTA Y SIETE MIL CUATROCIENTOS SESENTA Y CUATRO C/00 CTVOS.-</t>
  </si>
  <si>
    <t>LOPEZ SALOME</t>
  </si>
  <si>
    <t>SON PESOS: OCHENTA Y CUATRO MIL TRESCIENTOS SESENTA Y SEIS C/00 CTVOS.-</t>
  </si>
  <si>
    <t>SAN CRISTOBALJUNIO 2026</t>
  </si>
  <si>
    <t>SON PESOS: CUARENTA Y DOS MIL CIENTO OCHENTA Y TRES C/00 CTVOS.-</t>
  </si>
  <si>
    <t>AGENTE: DR BORSINI ARMANDO</t>
  </si>
  <si>
    <t xml:space="preserve">JUNIO  </t>
  </si>
  <si>
    <t>BORSINI ARMANDO</t>
  </si>
  <si>
    <t>JUNIO</t>
  </si>
  <si>
    <t>AGENTE: DR EYVASTRE MARIELA</t>
  </si>
  <si>
    <t>EYVASTRE MARIELA</t>
  </si>
  <si>
    <t>NICOLA CAMILA</t>
  </si>
  <si>
    <t>SON PESOS:CUARENTA Y DOS MIL CIENTO OCHENTA Y TRES C/00 CTVOS.</t>
  </si>
  <si>
    <t>AGENTE: DRA VALLI LARA</t>
  </si>
  <si>
    <t>SON PESOS: CUARENTA Y DOS MIL CIENTO OCHENTA Y TRES C/00</t>
  </si>
  <si>
    <t>SAN CRISTOBAL EJUNIO 2026</t>
  </si>
  <si>
    <t>SON PESOS: QUINIENTOS NOVENTA MIL QUINIENTOS SESENTA Y DOS. C/00 CTVOS.-</t>
  </si>
  <si>
    <t xml:space="preserve">SON PESOS:SETECIENTOS DIECISIETE MIL CIENTO ONCE C/00 CTVOS. </t>
  </si>
  <si>
    <t>SON PESOS: CIENTO SESENTA Y OCHO MIL SETESCIENTOS TREINTA Y DOS C/00 CTVOS.-</t>
  </si>
  <si>
    <t>SON PESOS: TRESCIENTOS SETENTA Y NUEVE MIL SEISCIENTOS CUARENTA Y SIETE C/00 CTVOS.-</t>
  </si>
  <si>
    <t>SAN CRISTOBAL JUNIO 2025</t>
  </si>
  <si>
    <t>SON PESOS: QUINIENTOS SEIS MIL CIENTO NOVENTA Y SEIS C/00 CTVOS.</t>
  </si>
  <si>
    <t>IAPOS</t>
  </si>
  <si>
    <t>ROFFINATO FIORELLA</t>
  </si>
  <si>
    <t>SABENA DANIEL</t>
  </si>
  <si>
    <t>ORDOÑEZ</t>
  </si>
  <si>
    <t>DRA NICOLA</t>
  </si>
  <si>
    <t>RFARIAS ALEJANDRA</t>
  </si>
  <si>
    <t>LOPEZ ALEJ.</t>
  </si>
  <si>
    <t>AIRALDO CAROLINA</t>
  </si>
  <si>
    <t>LODI</t>
  </si>
  <si>
    <t>BORGIATTINO RODOLFO</t>
  </si>
  <si>
    <t>BARIONUEVO ALBERTO</t>
  </si>
  <si>
    <t>SIMONELLA TAMARA</t>
  </si>
  <si>
    <t>OUTERIAL</t>
  </si>
  <si>
    <t>SOSA SHEYLA</t>
  </si>
  <si>
    <t>JULIO $ 86,053</t>
  </si>
  <si>
    <t>AGOSTO $ 87,571</t>
  </si>
  <si>
    <t>SEPTIEMBRE $ 89,000</t>
  </si>
  <si>
    <t>OCTUBRE $ 90,355</t>
  </si>
  <si>
    <t xml:space="preserve"> NOVIEMBRE $ 91,621</t>
  </si>
  <si>
    <t>DICIEMBRE $ 92,886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</si>
</sst>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6" formatCode="&quot;$&quot;\ #,##0;[Red]&quot;$&quot;\ \-#,##0"/>
    <numFmt numFmtId="8" formatCode="&quot;$&quot;\ #,##0.00;[Red]&quot;$&quot;\ \-#,##0.00"/>
    <numFmt numFmtId="44" formatCode="_ &quot;$&quot;\ * #,##0.00_ ;_ &quot;$&quot;\ * \-#,##0.00_ ;_ &quot;$&quot;\ * &quot;-&quot;??_ ;_ @_ "/>
    <numFmt numFmtId="164" formatCode="_ [$$-2C0A]\ * #,##0.00_ ;_ [$$-2C0A]\ * \-#,##0.00_ ;_ [$$-2C0A]\ * &quot;-&quot;??_ ;_ @_ "/>
    <numFmt numFmtId="165" formatCode="&quot; $ &quot;#,##0.00&quot; &quot;;&quot; $ -&quot;#,##0.00&quot; &quot;;&quot; $ -&quot;00&quot; &quot;;&quot; &quot;@&quot; &quot;"/>
    <numFmt numFmtId="166" formatCode="&quot; &quot;[$$-2C0A]&quot; &quot;#,##0.00&quot; &quot;;&quot; &quot;[$$-2C0A]&quot; -&quot;#,##0.00&quot; &quot;;&quot; &quot;[$$-2C0A]&quot; -&quot;00&quot; &quot;;&quot; &quot;@&quot; &quot;"/>
    <numFmt numFmtId="167" formatCode="#,##0.00&quot;   &quot;"/>
    <numFmt numFmtId="168" formatCode="[$$-2C0A]&quot; &quot;#,##0.00"/>
    <numFmt numFmtId="169" formatCode="hh&quot;:&quot;mm"/>
    <numFmt numFmtId="170" formatCode="&quot;$&quot;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Arial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indexed="8"/>
      <name val="Arial"/>
      <family val="2"/>
    </font>
    <font>
      <b/>
      <sz val="13"/>
      <color indexed="8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1" fillId="0" borderId="0"/>
    <xf numFmtId="44" fontId="4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</cellStyleXfs>
  <cellXfs count="484">
    <xf numFmtId="0" fontId="0" fillId="0" borderId="0" xfId="0"/>
    <xf numFmtId="0" fontId="3" fillId="2" borderId="5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vertical="center"/>
    </xf>
    <xf numFmtId="0" fontId="1" fillId="0" borderId="10" xfId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49" fontId="1" fillId="0" borderId="10" xfId="1" applyNumberFormat="1" applyFill="1" applyBorder="1" applyAlignment="1">
      <alignment horizontal="center" vertical="center"/>
    </xf>
    <xf numFmtId="12" fontId="4" fillId="0" borderId="10" xfId="1" applyNumberFormat="1" applyFont="1" applyFill="1" applyBorder="1" applyAlignment="1">
      <alignment horizontal="center" vertical="center"/>
    </xf>
    <xf numFmtId="44" fontId="4" fillId="0" borderId="10" xfId="2" applyFont="1" applyFill="1" applyBorder="1" applyAlignment="1">
      <alignment vertical="center"/>
    </xf>
    <xf numFmtId="164" fontId="4" fillId="0" borderId="10" xfId="2" applyNumberFormat="1" applyFont="1" applyFill="1" applyBorder="1"/>
    <xf numFmtId="0" fontId="1" fillId="0" borderId="10" xfId="1" applyFill="1" applyBorder="1" applyAlignment="1">
      <alignment vertical="center"/>
    </xf>
    <xf numFmtId="164" fontId="4" fillId="0" borderId="10" xfId="1" applyNumberFormat="1" applyFont="1" applyFill="1" applyBorder="1" applyAlignment="1"/>
    <xf numFmtId="44" fontId="4" fillId="0" borderId="10" xfId="2" applyFont="1" applyFill="1" applyBorder="1" applyAlignment="1"/>
    <xf numFmtId="0" fontId="1" fillId="0" borderId="10" xfId="1" applyNumberFormat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49" fontId="1" fillId="0" borderId="11" xfId="1" applyNumberForma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left"/>
    </xf>
    <xf numFmtId="0" fontId="1" fillId="0" borderId="11" xfId="1" applyNumberFormat="1" applyFill="1" applyBorder="1" applyAlignment="1">
      <alignment horizontal="center" vertical="center"/>
    </xf>
    <xf numFmtId="1" fontId="1" fillId="0" borderId="10" xfId="1" applyNumberFormat="1" applyFill="1" applyBorder="1" applyAlignment="1">
      <alignment horizontal="center" vertical="center"/>
    </xf>
    <xf numFmtId="1" fontId="1" fillId="0" borderId="11" xfId="1" applyNumberFormat="1" applyFill="1" applyBorder="1" applyAlignment="1">
      <alignment horizontal="center" vertical="center"/>
    </xf>
    <xf numFmtId="0" fontId="1" fillId="0" borderId="10" xfId="1" applyFont="1" applyFill="1" applyBorder="1" applyAlignment="1">
      <alignment horizontal="center"/>
    </xf>
    <xf numFmtId="20" fontId="1" fillId="0" borderId="10" xfId="1" applyNumberFormat="1" applyFont="1" applyFill="1" applyBorder="1" applyAlignment="1">
      <alignment horizontal="center"/>
    </xf>
    <xf numFmtId="12" fontId="6" fillId="0" borderId="10" xfId="1" applyNumberFormat="1" applyFont="1" applyFill="1" applyBorder="1" applyAlignment="1">
      <alignment horizontal="center" vertical="center"/>
    </xf>
    <xf numFmtId="0" fontId="1" fillId="0" borderId="10" xfId="1" applyFill="1" applyBorder="1"/>
    <xf numFmtId="0" fontId="1" fillId="0" borderId="10" xfId="1" applyFill="1" applyBorder="1" applyAlignment="1">
      <alignment horizontal="center"/>
    </xf>
    <xf numFmtId="20" fontId="1" fillId="0" borderId="10" xfId="1" applyNumberFormat="1" applyFill="1" applyBorder="1" applyAlignment="1">
      <alignment horizontal="center"/>
    </xf>
    <xf numFmtId="12" fontId="4" fillId="0" borderId="0" xfId="1" applyNumberFormat="1" applyFont="1" applyFill="1" applyBorder="1" applyAlignment="1">
      <alignment horizontal="center" vertical="center"/>
    </xf>
    <xf numFmtId="44" fontId="4" fillId="0" borderId="0" xfId="2" applyFont="1" applyFill="1" applyBorder="1" applyAlignment="1">
      <alignment vertical="center"/>
    </xf>
    <xf numFmtId="0" fontId="1" fillId="0" borderId="0" xfId="1" applyBorder="1"/>
    <xf numFmtId="0" fontId="1" fillId="0" borderId="0" xfId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164" fontId="2" fillId="0" borderId="0" xfId="1" applyNumberFormat="1" applyFont="1"/>
    <xf numFmtId="164" fontId="1" fillId="0" borderId="0" xfId="1" applyNumberFormat="1"/>
    <xf numFmtId="0" fontId="1" fillId="0" borderId="0" xfId="1" applyAlignment="1">
      <alignment horizontal="left"/>
    </xf>
    <xf numFmtId="0" fontId="10" fillId="0" borderId="13" xfId="3" applyFont="1" applyBorder="1"/>
    <xf numFmtId="0" fontId="8" fillId="0" borderId="14" xfId="3" applyBorder="1"/>
    <xf numFmtId="0" fontId="10" fillId="0" borderId="15" xfId="3" applyFont="1" applyBorder="1"/>
    <xf numFmtId="0" fontId="8" fillId="0" borderId="16" xfId="3" applyBorder="1"/>
    <xf numFmtId="0" fontId="8" fillId="0" borderId="17" xfId="3" applyBorder="1"/>
    <xf numFmtId="0" fontId="8" fillId="0" borderId="18" xfId="3" applyBorder="1"/>
    <xf numFmtId="0" fontId="10" fillId="0" borderId="19" xfId="3" applyFont="1" applyBorder="1"/>
    <xf numFmtId="0" fontId="10" fillId="0" borderId="20" xfId="3" applyFont="1" applyBorder="1" applyAlignment="1">
      <alignment horizontal="center"/>
    </xf>
    <xf numFmtId="0" fontId="10" fillId="0" borderId="21" xfId="3" applyFont="1" applyBorder="1" applyAlignment="1"/>
    <xf numFmtId="0" fontId="10" fillId="0" borderId="22" xfId="3" applyFont="1" applyBorder="1" applyAlignment="1"/>
    <xf numFmtId="0" fontId="10" fillId="0" borderId="23" xfId="3" applyFont="1" applyBorder="1" applyAlignment="1"/>
    <xf numFmtId="0" fontId="10" fillId="0" borderId="25" xfId="3" applyFont="1" applyBorder="1"/>
    <xf numFmtId="0" fontId="10" fillId="0" borderId="26" xfId="3" applyFont="1" applyBorder="1" applyAlignment="1">
      <alignment horizontal="center"/>
    </xf>
    <xf numFmtId="0" fontId="10" fillId="0" borderId="27" xfId="3" applyFont="1" applyBorder="1"/>
    <xf numFmtId="0" fontId="8" fillId="0" borderId="0" xfId="3"/>
    <xf numFmtId="0" fontId="8" fillId="0" borderId="28" xfId="3" applyBorder="1"/>
    <xf numFmtId="0" fontId="11" fillId="0" borderId="29" xfId="3" applyFont="1" applyBorder="1" applyAlignment="1">
      <alignment horizontal="center" vertical="center"/>
    </xf>
    <xf numFmtId="0" fontId="11" fillId="0" borderId="30" xfId="3" applyFont="1" applyBorder="1" applyAlignment="1">
      <alignment horizontal="center" vertical="center"/>
    </xf>
    <xf numFmtId="0" fontId="11" fillId="0" borderId="31" xfId="3" applyFont="1" applyBorder="1" applyAlignment="1">
      <alignment horizontal="center" vertical="center"/>
    </xf>
    <xf numFmtId="0" fontId="11" fillId="0" borderId="32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0" fontId="11" fillId="0" borderId="34" xfId="3" applyFont="1" applyBorder="1" applyAlignment="1">
      <alignment horizontal="center" vertical="center"/>
    </xf>
    <xf numFmtId="14" fontId="12" fillId="0" borderId="20" xfId="3" applyNumberFormat="1" applyFont="1" applyFill="1" applyBorder="1" applyAlignment="1">
      <alignment horizontal="center"/>
    </xf>
    <xf numFmtId="165" fontId="11" fillId="0" borderId="20" xfId="4" applyFont="1" applyFill="1" applyBorder="1"/>
    <xf numFmtId="0" fontId="15" fillId="0" borderId="41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35" xfId="0" applyFont="1" applyFill="1" applyBorder="1" applyAlignment="1">
      <alignment horizontal="left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35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164" fontId="4" fillId="0" borderId="11" xfId="2" applyNumberFormat="1" applyFont="1" applyFill="1" applyBorder="1"/>
    <xf numFmtId="12" fontId="4" fillId="0" borderId="10" xfId="1" applyNumberFormat="1" applyFont="1" applyFill="1" applyBorder="1" applyAlignment="1">
      <alignment vertical="center"/>
    </xf>
    <xf numFmtId="0" fontId="15" fillId="0" borderId="38" xfId="0" applyFont="1" applyFill="1" applyBorder="1" applyAlignment="1">
      <alignment horizontal="left"/>
    </xf>
    <xf numFmtId="0" fontId="15" fillId="0" borderId="41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0" fillId="0" borderId="41" xfId="0" applyFill="1" applyBorder="1"/>
    <xf numFmtId="0" fontId="0" fillId="0" borderId="43" xfId="0" applyFill="1" applyBorder="1"/>
    <xf numFmtId="167" fontId="0" fillId="0" borderId="41" xfId="0" applyNumberFormat="1" applyFont="1" applyBorder="1"/>
    <xf numFmtId="0" fontId="0" fillId="0" borderId="35" xfId="0" applyFill="1" applyBorder="1"/>
    <xf numFmtId="0" fontId="0" fillId="0" borderId="37" xfId="0" applyFill="1" applyBorder="1"/>
    <xf numFmtId="168" fontId="18" fillId="0" borderId="42" xfId="0" applyNumberFormat="1" applyFont="1" applyBorder="1" applyAlignment="1">
      <alignment horizontal="right"/>
    </xf>
    <xf numFmtId="0" fontId="15" fillId="0" borderId="48" xfId="0" applyFont="1" applyFill="1" applyBorder="1" applyAlignment="1">
      <alignment horizontal="right" vertical="center"/>
    </xf>
    <xf numFmtId="0" fontId="15" fillId="0" borderId="49" xfId="0" applyFont="1" applyFill="1" applyBorder="1" applyAlignment="1">
      <alignment horizontal="right" vertical="center"/>
    </xf>
    <xf numFmtId="0" fontId="15" fillId="0" borderId="50" xfId="0" applyFont="1" applyFill="1" applyBorder="1" applyAlignment="1">
      <alignment horizontal="right" vertical="center"/>
    </xf>
    <xf numFmtId="167" fontId="0" fillId="0" borderId="51" xfId="0" applyNumberFormat="1" applyFont="1" applyFill="1" applyBorder="1" applyAlignment="1">
      <alignment horizontal="center" vertical="center"/>
    </xf>
    <xf numFmtId="0" fontId="0" fillId="0" borderId="0" xfId="0" applyFont="1"/>
    <xf numFmtId="0" fontId="18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9" fillId="0" borderId="0" xfId="0" applyFont="1" applyFill="1" applyBorder="1" applyAlignment="1">
      <alignment horizontal="left" vertical="center"/>
    </xf>
    <xf numFmtId="0" fontId="18" fillId="0" borderId="0" xfId="0" applyFont="1"/>
    <xf numFmtId="0" fontId="15" fillId="0" borderId="37" xfId="0" applyFont="1" applyFill="1" applyBorder="1" applyAlignment="1">
      <alignment horizontal="center"/>
    </xf>
    <xf numFmtId="0" fontId="20" fillId="0" borderId="35" xfId="0" applyFont="1" applyFill="1" applyBorder="1" applyAlignment="1">
      <alignment horizontal="left"/>
    </xf>
    <xf numFmtId="0" fontId="20" fillId="0" borderId="37" xfId="0" applyFont="1" applyFill="1" applyBorder="1" applyAlignment="1">
      <alignment horizontal="center"/>
    </xf>
    <xf numFmtId="0" fontId="1" fillId="0" borderId="10" xfId="1" applyFill="1" applyBorder="1" applyAlignment="1">
      <alignment horizontal="right"/>
    </xf>
    <xf numFmtId="0" fontId="15" fillId="0" borderId="35" xfId="0" applyFont="1" applyFill="1" applyBorder="1" applyAlignment="1"/>
    <xf numFmtId="0" fontId="17" fillId="0" borderId="10" xfId="0" applyFont="1" applyFill="1" applyBorder="1" applyAlignment="1"/>
    <xf numFmtId="0" fontId="17" fillId="0" borderId="10" xfId="0" applyFont="1" applyFill="1" applyBorder="1" applyAlignment="1">
      <alignment horizontal="center"/>
    </xf>
    <xf numFmtId="0" fontId="15" fillId="0" borderId="37" xfId="0" applyFont="1" applyFill="1" applyBorder="1" applyAlignment="1"/>
    <xf numFmtId="0" fontId="17" fillId="0" borderId="43" xfId="0" applyFont="1" applyFill="1" applyBorder="1" applyAlignment="1"/>
    <xf numFmtId="0" fontId="0" fillId="0" borderId="41" xfId="0" applyFill="1" applyBorder="1" applyAlignment="1"/>
    <xf numFmtId="0" fontId="0" fillId="0" borderId="43" xfId="0" applyFill="1" applyBorder="1" applyAlignment="1"/>
    <xf numFmtId="0" fontId="0" fillId="0" borderId="42" xfId="0" applyFill="1" applyBorder="1" applyAlignment="1"/>
    <xf numFmtId="0" fontId="0" fillId="0" borderId="42" xfId="0" applyFill="1" applyBorder="1"/>
    <xf numFmtId="0" fontId="0" fillId="0" borderId="10" xfId="0" applyFill="1" applyBorder="1" applyAlignment="1"/>
    <xf numFmtId="0" fontId="0" fillId="0" borderId="40" xfId="0" applyFill="1" applyBorder="1" applyAlignment="1"/>
    <xf numFmtId="0" fontId="18" fillId="0" borderId="46" xfId="0" applyFont="1" applyFill="1" applyBorder="1"/>
    <xf numFmtId="164" fontId="18" fillId="0" borderId="54" xfId="0" applyNumberFormat="1" applyFont="1" applyFill="1" applyBorder="1"/>
    <xf numFmtId="0" fontId="0" fillId="0" borderId="0" xfId="0" applyFont="1" applyBorder="1"/>
    <xf numFmtId="0" fontId="22" fillId="0" borderId="0" xfId="0" applyFont="1" applyFill="1" applyBorder="1" applyAlignment="1"/>
    <xf numFmtId="0" fontId="18" fillId="0" borderId="0" xfId="0" applyFont="1" applyFill="1" applyBorder="1" applyAlignment="1"/>
    <xf numFmtId="0" fontId="18" fillId="0" borderId="0" xfId="0" applyFont="1" applyFill="1" applyBorder="1"/>
    <xf numFmtId="0" fontId="15" fillId="0" borderId="0" xfId="0" applyFont="1" applyFill="1" applyBorder="1" applyAlignment="1">
      <alignment horizontal="right" vertical="center"/>
    </xf>
    <xf numFmtId="0" fontId="0" fillId="0" borderId="0" xfId="0" applyFill="1" applyBorder="1" applyAlignment="1"/>
    <xf numFmtId="0" fontId="15" fillId="0" borderId="0" xfId="0" applyFont="1"/>
    <xf numFmtId="0" fontId="0" fillId="0" borderId="0" xfId="0" applyFont="1" applyFill="1" applyBorder="1" applyAlignment="1">
      <alignment vertical="center"/>
    </xf>
    <xf numFmtId="12" fontId="4" fillId="0" borderId="11" xfId="1" applyNumberFormat="1" applyFont="1" applyFill="1" applyBorder="1" applyAlignment="1">
      <alignment horizontal="center" vertical="center"/>
    </xf>
    <xf numFmtId="0" fontId="0" fillId="0" borderId="41" xfId="0" applyFont="1" applyBorder="1" applyAlignment="1">
      <alignment horizontal="center"/>
    </xf>
    <xf numFmtId="169" fontId="0" fillId="0" borderId="41" xfId="0" applyNumberFormat="1" applyFont="1" applyBorder="1" applyAlignment="1">
      <alignment horizontal="center"/>
    </xf>
    <xf numFmtId="2" fontId="0" fillId="0" borderId="41" xfId="0" applyNumberFormat="1" applyFont="1" applyBorder="1" applyAlignment="1">
      <alignment horizontal="center"/>
    </xf>
    <xf numFmtId="167" fontId="0" fillId="0" borderId="41" xfId="0" applyNumberFormat="1" applyFont="1" applyBorder="1" applyAlignment="1">
      <alignment horizontal="center"/>
    </xf>
    <xf numFmtId="0" fontId="0" fillId="0" borderId="41" xfId="0" applyFont="1" applyBorder="1"/>
    <xf numFmtId="169" fontId="0" fillId="0" borderId="41" xfId="0" applyNumberFormat="1" applyFont="1" applyBorder="1"/>
    <xf numFmtId="2" fontId="0" fillId="0" borderId="41" xfId="0" applyNumberFormat="1" applyFont="1" applyBorder="1"/>
    <xf numFmtId="168" fontId="0" fillId="0" borderId="41" xfId="0" applyNumberFormat="1" applyFont="1" applyBorder="1" applyAlignment="1">
      <alignment horizontal="right"/>
    </xf>
    <xf numFmtId="167" fontId="18" fillId="0" borderId="42" xfId="0" applyNumberFormat="1" applyFont="1" applyFill="1" applyBorder="1" applyAlignment="1">
      <alignment vertical="center"/>
    </xf>
    <xf numFmtId="167" fontId="18" fillId="0" borderId="55" xfId="0" applyNumberFormat="1" applyFont="1" applyFill="1" applyBorder="1" applyAlignment="1">
      <alignment vertical="center"/>
    </xf>
    <xf numFmtId="167" fontId="18" fillId="0" borderId="43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8" fillId="0" borderId="37" xfId="0" applyFont="1" applyFill="1" applyBorder="1" applyAlignment="1">
      <alignment horizontal="center" vertical="center"/>
    </xf>
    <xf numFmtId="0" fontId="3" fillId="2" borderId="56" xfId="1" applyFont="1" applyFill="1" applyBorder="1" applyAlignment="1">
      <alignment horizontal="center" vertical="center" wrapText="1"/>
    </xf>
    <xf numFmtId="14" fontId="4" fillId="0" borderId="10" xfId="1" applyNumberFormat="1" applyFont="1" applyFill="1" applyBorder="1" applyAlignment="1">
      <alignment horizontal="left"/>
    </xf>
    <xf numFmtId="14" fontId="4" fillId="0" borderId="10" xfId="1" applyNumberFormat="1" applyFont="1" applyFill="1" applyBorder="1" applyAlignment="1">
      <alignment horizontal="left" vertical="center"/>
    </xf>
    <xf numFmtId="14" fontId="4" fillId="0" borderId="10" xfId="1" applyNumberFormat="1" applyFont="1" applyFill="1" applyBorder="1" applyAlignment="1"/>
    <xf numFmtId="14" fontId="4" fillId="3" borderId="10" xfId="1" applyNumberFormat="1" applyFont="1" applyFill="1" applyBorder="1" applyAlignment="1">
      <alignment vertical="center"/>
    </xf>
    <xf numFmtId="0" fontId="4" fillId="0" borderId="10" xfId="1" applyFont="1" applyFill="1" applyBorder="1" applyAlignment="1"/>
    <xf numFmtId="49" fontId="0" fillId="0" borderId="10" xfId="1" applyNumberFormat="1" applyFont="1" applyFill="1" applyBorder="1" applyAlignment="1">
      <alignment horizontal="center" vertical="center"/>
    </xf>
    <xf numFmtId="49" fontId="0" fillId="0" borderId="11" xfId="1" applyNumberFormat="1" applyFont="1" applyFill="1" applyBorder="1" applyAlignment="1">
      <alignment horizontal="center" vertical="center"/>
    </xf>
    <xf numFmtId="0" fontId="0" fillId="0" borderId="10" xfId="1" applyFont="1" applyFill="1" applyBorder="1" applyAlignment="1">
      <alignment vertical="center"/>
    </xf>
    <xf numFmtId="0" fontId="0" fillId="0" borderId="0" xfId="0" applyFont="1" applyFill="1" applyBorder="1" applyAlignment="1"/>
    <xf numFmtId="0" fontId="0" fillId="0" borderId="0" xfId="0" applyAlignment="1"/>
    <xf numFmtId="0" fontId="1" fillId="0" borderId="0" xfId="1" applyBorder="1" applyAlignment="1"/>
    <xf numFmtId="0" fontId="0" fillId="0" borderId="0" xfId="1" applyFont="1" applyBorder="1" applyAlignment="1"/>
    <xf numFmtId="0" fontId="0" fillId="0" borderId="0" xfId="1" applyFont="1" applyAlignment="1">
      <alignment horizontal="left"/>
    </xf>
    <xf numFmtId="0" fontId="15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0" fontId="0" fillId="0" borderId="38" xfId="0" applyFill="1" applyBorder="1"/>
    <xf numFmtId="0" fontId="0" fillId="0" borderId="40" xfId="0" applyFill="1" applyBorder="1"/>
    <xf numFmtId="167" fontId="0" fillId="0" borderId="42" xfId="0" applyNumberFormat="1" applyFont="1" applyBorder="1"/>
    <xf numFmtId="0" fontId="2" fillId="0" borderId="0" xfId="0" applyFont="1" applyAlignment="1"/>
    <xf numFmtId="0" fontId="15" fillId="0" borderId="35" xfId="0" applyFont="1" applyFill="1" applyBorder="1" applyAlignment="1">
      <alignment vertical="center"/>
    </xf>
    <xf numFmtId="0" fontId="15" fillId="0" borderId="36" xfId="0" applyFont="1" applyFill="1" applyBorder="1" applyAlignment="1">
      <alignment vertical="center"/>
    </xf>
    <xf numFmtId="167" fontId="0" fillId="0" borderId="35" xfId="0" applyNumberFormat="1" applyFont="1" applyBorder="1"/>
    <xf numFmtId="167" fontId="0" fillId="0" borderId="38" xfId="0" applyNumberFormat="1" applyFont="1" applyBorder="1"/>
    <xf numFmtId="168" fontId="18" fillId="0" borderId="59" xfId="0" applyNumberFormat="1" applyFont="1" applyBorder="1" applyAlignment="1">
      <alignment horizontal="right"/>
    </xf>
    <xf numFmtId="167" fontId="0" fillId="0" borderId="48" xfId="0" applyNumberFormat="1" applyFont="1" applyFill="1" applyBorder="1" applyAlignment="1">
      <alignment horizontal="center" vertical="center"/>
    </xf>
    <xf numFmtId="0" fontId="15" fillId="0" borderId="10" xfId="0" applyFont="1" applyFill="1" applyBorder="1" applyAlignment="1"/>
    <xf numFmtId="0" fontId="0" fillId="0" borderId="10" xfId="0" applyFill="1" applyBorder="1" applyAlignment="1">
      <alignment vertical="center"/>
    </xf>
    <xf numFmtId="0" fontId="15" fillId="0" borderId="10" xfId="0" applyFont="1" applyBorder="1" applyAlignment="1">
      <alignment horizontal="center"/>
    </xf>
    <xf numFmtId="0" fontId="15" fillId="0" borderId="10" xfId="0" applyFont="1" applyFill="1" applyBorder="1" applyAlignment="1">
      <alignment vertical="center"/>
    </xf>
    <xf numFmtId="0" fontId="0" fillId="0" borderId="10" xfId="0" applyFont="1" applyBorder="1" applyAlignment="1"/>
    <xf numFmtId="164" fontId="1" fillId="0" borderId="0" xfId="1" applyNumberFormat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0" fillId="0" borderId="0" xfId="0" applyFill="1" applyBorder="1"/>
    <xf numFmtId="0" fontId="19" fillId="0" borderId="0" xfId="0" applyFont="1" applyFill="1" applyBorder="1" applyAlignment="1">
      <alignment horizontal="left" vertical="center"/>
    </xf>
    <xf numFmtId="167" fontId="0" fillId="0" borderId="0" xfId="0" applyNumberFormat="1" applyFont="1" applyBorder="1"/>
    <xf numFmtId="167" fontId="0" fillId="0" borderId="10" xfId="0" applyNumberFormat="1" applyFont="1" applyBorder="1"/>
    <xf numFmtId="167" fontId="2" fillId="0" borderId="10" xfId="0" applyNumberFormat="1" applyFont="1" applyBorder="1"/>
    <xf numFmtId="44" fontId="1" fillId="0" borderId="0" xfId="1" applyNumberFormat="1"/>
    <xf numFmtId="0" fontId="0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14" fontId="5" fillId="0" borderId="10" xfId="1" applyNumberFormat="1" applyFont="1" applyFill="1" applyBorder="1" applyAlignment="1"/>
    <xf numFmtId="164" fontId="7" fillId="0" borderId="10" xfId="2" applyNumberFormat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left"/>
    </xf>
    <xf numFmtId="0" fontId="17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41" xfId="0" applyFill="1" applyBorder="1"/>
    <xf numFmtId="0" fontId="0" fillId="0" borderId="43" xfId="0" applyFill="1" applyBorder="1"/>
    <xf numFmtId="0" fontId="19" fillId="0" borderId="0" xfId="0" applyFont="1" applyFill="1" applyBorder="1" applyAlignment="1">
      <alignment horizontal="left" vertical="center"/>
    </xf>
    <xf numFmtId="0" fontId="0" fillId="0" borderId="42" xfId="0" applyFill="1" applyBorder="1"/>
    <xf numFmtId="1" fontId="13" fillId="0" borderId="15" xfId="4" applyNumberFormat="1" applyFont="1" applyFill="1" applyBorder="1" applyAlignment="1">
      <alignment horizontal="center"/>
    </xf>
    <xf numFmtId="0" fontId="13" fillId="0" borderId="16" xfId="4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49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41" xfId="0" applyFill="1" applyBorder="1"/>
    <xf numFmtId="0" fontId="0" fillId="0" borderId="43" xfId="0" applyFill="1" applyBorder="1"/>
    <xf numFmtId="0" fontId="19" fillId="0" borderId="0" xfId="0" applyFont="1" applyFill="1" applyBorder="1" applyAlignment="1">
      <alignment horizontal="left" vertical="center"/>
    </xf>
    <xf numFmtId="0" fontId="0" fillId="0" borderId="42" xfId="0" applyFill="1" applyBorder="1"/>
    <xf numFmtId="0" fontId="12" fillId="0" borderId="20" xfId="3" applyFont="1" applyFill="1" applyBorder="1"/>
    <xf numFmtId="0" fontId="12" fillId="0" borderId="20" xfId="3" applyFont="1" applyFill="1" applyBorder="1" applyAlignment="1">
      <alignment horizontal="center"/>
    </xf>
    <xf numFmtId="1" fontId="13" fillId="0" borderId="10" xfId="4" applyNumberFormat="1" applyFont="1" applyFill="1" applyBorder="1" applyAlignment="1">
      <alignment horizontal="center"/>
    </xf>
    <xf numFmtId="0" fontId="13" fillId="0" borderId="10" xfId="4" applyNumberFormat="1" applyFont="1" applyFill="1" applyBorder="1" applyAlignment="1">
      <alignment horizontal="center"/>
    </xf>
    <xf numFmtId="0" fontId="7" fillId="0" borderId="10" xfId="4" applyNumberFormat="1" applyFont="1" applyFill="1" applyBorder="1" applyAlignment="1">
      <alignment horizontal="center"/>
    </xf>
    <xf numFmtId="166" fontId="13" fillId="0" borderId="10" xfId="3" applyNumberFormat="1" applyFont="1" applyFill="1" applyBorder="1" applyAlignment="1"/>
    <xf numFmtId="0" fontId="12" fillId="0" borderId="10" xfId="3" applyFont="1" applyFill="1" applyBorder="1"/>
    <xf numFmtId="166" fontId="13" fillId="0" borderId="14" xfId="3" applyNumberFormat="1" applyFont="1" applyFill="1" applyBorder="1" applyAlignment="1"/>
    <xf numFmtId="0" fontId="12" fillId="0" borderId="15" xfId="3" applyFont="1" applyFill="1" applyBorder="1" applyAlignment="1">
      <alignment horizontal="center"/>
    </xf>
    <xf numFmtId="166" fontId="13" fillId="0" borderId="20" xfId="3" applyNumberFormat="1" applyFont="1" applyFill="1" applyBorder="1" applyAlignment="1"/>
    <xf numFmtId="0" fontId="0" fillId="0" borderId="0" xfId="0"/>
    <xf numFmtId="0" fontId="0" fillId="0" borderId="10" xfId="1" applyNumberFormat="1" applyFont="1" applyFill="1" applyBorder="1" applyAlignment="1">
      <alignment horizontal="center" vertical="center"/>
    </xf>
    <xf numFmtId="0" fontId="0" fillId="0" borderId="10" xfId="1" applyFont="1" applyFill="1" applyBorder="1" applyAlignment="1">
      <alignment horizontal="center" vertical="center"/>
    </xf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41" xfId="0" applyFill="1" applyBorder="1"/>
    <xf numFmtId="0" fontId="19" fillId="0" borderId="0" xfId="0" applyFont="1" applyFill="1" applyBorder="1" applyAlignment="1">
      <alignment horizontal="left" vertical="center"/>
    </xf>
    <xf numFmtId="0" fontId="15" fillId="0" borderId="41" xfId="0" applyFont="1" applyFill="1" applyBorder="1" applyAlignment="1">
      <alignment horizontal="center" vertical="center"/>
    </xf>
    <xf numFmtId="0" fontId="0" fillId="0" borderId="42" xfId="0" applyFill="1" applyBorder="1"/>
    <xf numFmtId="8" fontId="4" fillId="0" borderId="10" xfId="2" applyNumberFormat="1" applyFont="1" applyFill="1" applyBorder="1" applyAlignment="1"/>
    <xf numFmtId="0" fontId="5" fillId="0" borderId="10" xfId="1" applyFont="1" applyFill="1" applyBorder="1" applyAlignment="1">
      <alignment vertical="center"/>
    </xf>
    <xf numFmtId="0" fontId="28" fillId="0" borderId="10" xfId="1" applyFont="1" applyFill="1" applyBorder="1" applyAlignment="1">
      <alignment horizontal="center" vertical="center"/>
    </xf>
    <xf numFmtId="49" fontId="28" fillId="0" borderId="10" xfId="1" applyNumberFormat="1" applyFont="1" applyFill="1" applyBorder="1" applyAlignment="1">
      <alignment horizontal="center" vertical="center"/>
    </xf>
    <xf numFmtId="0" fontId="28" fillId="0" borderId="11" xfId="1" applyFont="1" applyFill="1" applyBorder="1" applyAlignment="1">
      <alignment horizontal="center" vertical="center"/>
    </xf>
    <xf numFmtId="12" fontId="5" fillId="0" borderId="10" xfId="1" applyNumberFormat="1" applyFont="1" applyFill="1" applyBorder="1" applyAlignment="1">
      <alignment horizontal="center" vertical="center"/>
    </xf>
    <xf numFmtId="164" fontId="5" fillId="0" borderId="10" xfId="2" applyNumberFormat="1" applyFont="1" applyFill="1" applyBorder="1"/>
    <xf numFmtId="0" fontId="28" fillId="0" borderId="10" xfId="1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166" fontId="13" fillId="0" borderId="63" xfId="3" applyNumberFormat="1" applyFont="1" applyFill="1" applyBorder="1" applyAlignment="1"/>
    <xf numFmtId="0" fontId="13" fillId="0" borderId="63" xfId="4" applyNumberFormat="1" applyFont="1" applyFill="1" applyBorder="1" applyAlignment="1">
      <alignment horizontal="center"/>
    </xf>
    <xf numFmtId="1" fontId="13" fillId="0" borderId="63" xfId="4" applyNumberFormat="1" applyFont="1" applyFill="1" applyBorder="1" applyAlignment="1">
      <alignment horizontal="center"/>
    </xf>
    <xf numFmtId="1" fontId="13" fillId="0" borderId="64" xfId="4" applyNumberFormat="1" applyFont="1" applyFill="1" applyBorder="1" applyAlignment="1">
      <alignment horizontal="center"/>
    </xf>
    <xf numFmtId="0" fontId="13" fillId="0" borderId="65" xfId="4" applyNumberFormat="1" applyFont="1" applyFill="1" applyBorder="1" applyAlignment="1">
      <alignment horizontal="center"/>
    </xf>
    <xf numFmtId="14" fontId="5" fillId="0" borderId="10" xfId="1" applyNumberFormat="1" applyFont="1" applyFill="1" applyBorder="1" applyAlignment="1">
      <alignment horizontal="left"/>
    </xf>
    <xf numFmtId="0" fontId="0" fillId="0" borderId="0" xfId="0" applyFont="1" applyFill="1" applyBorder="1"/>
    <xf numFmtId="0" fontId="17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41" xfId="0" applyFill="1" applyBorder="1"/>
    <xf numFmtId="0" fontId="0" fillId="0" borderId="43" xfId="0" applyFill="1" applyBorder="1"/>
    <xf numFmtId="0" fontId="19" fillId="0" borderId="0" xfId="0" applyFont="1" applyFill="1" applyBorder="1" applyAlignment="1">
      <alignment horizontal="left" vertical="center"/>
    </xf>
    <xf numFmtId="6" fontId="4" fillId="0" borderId="10" xfId="2" applyNumberFormat="1" applyFont="1" applyFill="1" applyBorder="1" applyAlignment="1">
      <alignment vertical="center"/>
    </xf>
    <xf numFmtId="0" fontId="0" fillId="0" borderId="0" xfId="1" applyFont="1"/>
    <xf numFmtId="0" fontId="15" fillId="0" borderId="37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0" fontId="0" fillId="0" borderId="43" xfId="0" applyFill="1" applyBorder="1"/>
    <xf numFmtId="0" fontId="19" fillId="0" borderId="0" xfId="0" applyFont="1" applyFill="1" applyBorder="1" applyAlignment="1">
      <alignment horizontal="left" vertical="center"/>
    </xf>
    <xf numFmtId="0" fontId="0" fillId="0" borderId="42" xfId="0" applyFill="1" applyBorder="1"/>
    <xf numFmtId="0" fontId="0" fillId="0" borderId="0" xfId="1" applyFont="1" applyFill="1"/>
    <xf numFmtId="6" fontId="4" fillId="0" borderId="10" xfId="2" applyNumberFormat="1" applyFont="1" applyFill="1" applyBorder="1" applyAlignment="1"/>
    <xf numFmtId="168" fontId="0" fillId="0" borderId="10" xfId="0" applyNumberFormat="1" applyFont="1" applyFill="1" applyBorder="1" applyAlignment="1">
      <alignment horizontal="right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0" fillId="0" borderId="42" xfId="0" applyFill="1" applyBorder="1"/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170" fontId="0" fillId="0" borderId="54" xfId="0" applyNumberFormat="1" applyFont="1" applyFill="1" applyBorder="1" applyAlignment="1"/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1" fontId="13" fillId="0" borderId="57" xfId="4" applyNumberFormat="1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0" fontId="0" fillId="0" borderId="43" xfId="0" applyFill="1" applyBorder="1"/>
    <xf numFmtId="0" fontId="19" fillId="0" borderId="0" xfId="0" applyFont="1" applyFill="1" applyBorder="1" applyAlignment="1">
      <alignment horizontal="left" vertical="center"/>
    </xf>
    <xf numFmtId="168" fontId="0" fillId="0" borderId="66" xfId="0" applyNumberFormat="1" applyFont="1" applyBorder="1" applyAlignment="1">
      <alignment horizontal="right"/>
    </xf>
    <xf numFmtId="0" fontId="13" fillId="0" borderId="67" xfId="4" applyNumberFormat="1" applyFont="1" applyFill="1" applyBorder="1" applyAlignment="1">
      <alignment horizontal="center"/>
    </xf>
    <xf numFmtId="0" fontId="13" fillId="0" borderId="68" xfId="4" applyNumberFormat="1" applyFont="1" applyFill="1" applyBorder="1" applyAlignment="1">
      <alignment horizontal="center"/>
    </xf>
    <xf numFmtId="168" fontId="0" fillId="0" borderId="69" xfId="0" applyNumberFormat="1" applyFont="1" applyBorder="1" applyAlignment="1">
      <alignment horizontal="right"/>
    </xf>
    <xf numFmtId="0" fontId="24" fillId="0" borderId="0" xfId="0" applyFont="1" applyFill="1" applyBorder="1" applyAlignment="1">
      <alignment horizontal="left" vertical="center" wrapText="1"/>
    </xf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6" fontId="4" fillId="0" borderId="10" xfId="1" applyNumberFormat="1" applyFont="1" applyFill="1" applyBorder="1" applyAlignment="1">
      <alignment horizontal="left" vertical="center"/>
    </xf>
    <xf numFmtId="167" fontId="18" fillId="0" borderId="70" xfId="0" applyNumberFormat="1" applyFont="1" applyFill="1" applyBorder="1" applyAlignment="1">
      <alignment vertical="center"/>
    </xf>
    <xf numFmtId="168" fontId="0" fillId="0" borderId="10" xfId="0" applyNumberFormat="1" applyFont="1" applyBorder="1" applyAlignment="1">
      <alignment horizontal="right"/>
    </xf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166" fontId="13" fillId="0" borderId="71" xfId="3" applyNumberFormat="1" applyFont="1" applyFill="1" applyBorder="1" applyAlignment="1"/>
    <xf numFmtId="164" fontId="4" fillId="0" borderId="10" xfId="2" applyNumberFormat="1" applyFont="1" applyFill="1" applyBorder="1" applyAlignment="1"/>
    <xf numFmtId="0" fontId="15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41" xfId="0" applyFill="1" applyBorder="1"/>
    <xf numFmtId="0" fontId="19" fillId="0" borderId="0" xfId="0" applyFont="1" applyFill="1" applyBorder="1" applyAlignment="1">
      <alignment horizontal="left" vertical="center"/>
    </xf>
    <xf numFmtId="0" fontId="15" fillId="0" borderId="41" xfId="0" applyFont="1" applyFill="1" applyBorder="1" applyAlignment="1">
      <alignment horizontal="center" vertical="center"/>
    </xf>
    <xf numFmtId="0" fontId="0" fillId="0" borderId="42" xfId="0" applyFill="1" applyBorder="1"/>
    <xf numFmtId="0" fontId="12" fillId="0" borderId="72" xfId="3" applyFont="1" applyFill="1" applyBorder="1"/>
    <xf numFmtId="0" fontId="15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/>
    <xf numFmtId="164" fontId="4" fillId="0" borderId="52" xfId="2" applyNumberFormat="1" applyFont="1" applyFill="1" applyBorder="1" applyAlignment="1">
      <alignment horizontal="center"/>
    </xf>
    <xf numFmtId="164" fontId="4" fillId="0" borderId="53" xfId="2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left" vertical="center"/>
    </xf>
    <xf numFmtId="0" fontId="0" fillId="0" borderId="42" xfId="0" applyFill="1" applyBorder="1"/>
    <xf numFmtId="0" fontId="0" fillId="0" borderId="11" xfId="1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41" xfId="0" applyFill="1" applyBorder="1"/>
    <xf numFmtId="0" fontId="0" fillId="0" borderId="43" xfId="0" applyFill="1" applyBorder="1"/>
    <xf numFmtId="0" fontId="19" fillId="0" borderId="0" xfId="0" applyFont="1" applyFill="1" applyBorder="1" applyAlignment="1">
      <alignment horizontal="left" vertical="center"/>
    </xf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14" fontId="4" fillId="0" borderId="73" xfId="1" applyNumberFormat="1" applyFont="1" applyFill="1" applyBorder="1" applyAlignment="1">
      <alignment horizontal="left"/>
    </xf>
    <xf numFmtId="0" fontId="4" fillId="0" borderId="73" xfId="1" applyFont="1" applyFill="1" applyBorder="1" applyAlignment="1">
      <alignment vertical="center"/>
    </xf>
    <xf numFmtId="0" fontId="1" fillId="0" borderId="73" xfId="1" applyFill="1" applyBorder="1" applyAlignment="1">
      <alignment horizontal="center" vertical="center"/>
    </xf>
    <xf numFmtId="0" fontId="4" fillId="0" borderId="73" xfId="1" applyFont="1" applyFill="1" applyBorder="1" applyAlignment="1">
      <alignment horizontal="center" vertical="center"/>
    </xf>
    <xf numFmtId="0" fontId="1" fillId="0" borderId="73" xfId="1" applyNumberFormat="1" applyFill="1" applyBorder="1" applyAlignment="1">
      <alignment horizontal="center" vertical="center"/>
    </xf>
    <xf numFmtId="164" fontId="7" fillId="0" borderId="73" xfId="2" applyNumberFormat="1" applyFont="1" applyFill="1" applyBorder="1" applyAlignment="1">
      <alignment horizontal="center"/>
    </xf>
    <xf numFmtId="0" fontId="4" fillId="0" borderId="73" xfId="1" applyFont="1" applyFill="1" applyBorder="1" applyAlignment="1"/>
    <xf numFmtId="1" fontId="13" fillId="0" borderId="74" xfId="4" applyNumberFormat="1" applyFont="1" applyFill="1" applyBorder="1" applyAlignment="1">
      <alignment horizontal="center"/>
    </xf>
    <xf numFmtId="0" fontId="13" fillId="0" borderId="27" xfId="4" applyNumberFormat="1" applyFont="1" applyFill="1" applyBorder="1" applyAlignment="1">
      <alignment horizontal="center"/>
    </xf>
    <xf numFmtId="0" fontId="29" fillId="3" borderId="20" xfId="3" applyFont="1" applyFill="1" applyBorder="1"/>
    <xf numFmtId="0" fontId="29" fillId="3" borderId="26" xfId="3" applyFont="1" applyFill="1" applyBorder="1"/>
    <xf numFmtId="0" fontId="29" fillId="3" borderId="63" xfId="3" applyFont="1" applyFill="1" applyBorder="1"/>
    <xf numFmtId="0" fontId="29" fillId="3" borderId="10" xfId="3" applyFont="1" applyFill="1" applyBorder="1"/>
    <xf numFmtId="0" fontId="12" fillId="3" borderId="20" xfId="3" applyFont="1" applyFill="1" applyBorder="1"/>
    <xf numFmtId="0" fontId="29" fillId="3" borderId="65" xfId="3" applyFont="1" applyFill="1" applyBorder="1"/>
    <xf numFmtId="14" fontId="0" fillId="0" borderId="0" xfId="0" applyNumberFormat="1"/>
    <xf numFmtId="0" fontId="30" fillId="0" borderId="0" xfId="0" applyFont="1"/>
    <xf numFmtId="0" fontId="3" fillId="2" borderId="1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12" xfId="3" applyFont="1" applyFill="1" applyBorder="1" applyAlignment="1">
      <alignment horizontal="center" vertical="center"/>
    </xf>
    <xf numFmtId="0" fontId="10" fillId="0" borderId="24" xfId="3" applyFont="1" applyFill="1" applyBorder="1" applyAlignment="1">
      <alignment horizontal="center"/>
    </xf>
    <xf numFmtId="0" fontId="8" fillId="0" borderId="16" xfId="3" applyFill="1" applyBorder="1"/>
    <xf numFmtId="0" fontId="8" fillId="0" borderId="17" xfId="3" applyFill="1" applyBorder="1"/>
    <xf numFmtId="0" fontId="8" fillId="0" borderId="14" xfId="3" applyFill="1" applyBorder="1"/>
    <xf numFmtId="0" fontId="14" fillId="0" borderId="0" xfId="3" applyFont="1" applyAlignment="1">
      <alignment horizontal="left" vertical="center"/>
    </xf>
    <xf numFmtId="0" fontId="15" fillId="0" borderId="38" xfId="0" applyFont="1" applyFill="1" applyBorder="1" applyAlignment="1">
      <alignment horizontal="right" vertical="center"/>
    </xf>
    <xf numFmtId="0" fontId="15" fillId="0" borderId="39" xfId="0" applyFont="1" applyFill="1" applyBorder="1" applyAlignment="1">
      <alignment horizontal="right" vertical="center"/>
    </xf>
    <xf numFmtId="0" fontId="15" fillId="0" borderId="40" xfId="0" applyFont="1" applyFill="1" applyBorder="1" applyAlignment="1">
      <alignment horizontal="right" vertical="center"/>
    </xf>
    <xf numFmtId="0" fontId="0" fillId="0" borderId="46" xfId="0" applyFont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24" fillId="0" borderId="0" xfId="0" applyFont="1" applyFill="1" applyBorder="1" applyAlignment="1">
      <alignment horizontal="left" vertical="center" wrapText="1"/>
    </xf>
    <xf numFmtId="0" fontId="0" fillId="0" borderId="35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7" fillId="0" borderId="35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0" fillId="0" borderId="46" xfId="0" applyFill="1" applyBorder="1"/>
    <xf numFmtId="0" fontId="0" fillId="0" borderId="47" xfId="0" applyFill="1" applyBorder="1"/>
    <xf numFmtId="0" fontId="0" fillId="0" borderId="46" xfId="0" applyFill="1" applyBorder="1" applyAlignment="1">
      <alignment horizontal="center"/>
    </xf>
    <xf numFmtId="0" fontId="0" fillId="0" borderId="47" xfId="0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42" xfId="0" applyFont="1" applyFill="1" applyBorder="1" applyAlignment="1">
      <alignment horizontal="center" vertical="center"/>
    </xf>
    <xf numFmtId="0" fontId="15" fillId="0" borderId="43" xfId="0" applyFont="1" applyFill="1" applyBorder="1" applyAlignment="1">
      <alignment horizontal="center" vertical="center"/>
    </xf>
    <xf numFmtId="0" fontId="20" fillId="0" borderId="38" xfId="0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/>
    </xf>
    <xf numFmtId="0" fontId="20" fillId="0" borderId="44" xfId="0" applyFont="1" applyFill="1" applyBorder="1" applyAlignment="1">
      <alignment horizontal="center" vertical="center"/>
    </xf>
    <xf numFmtId="0" fontId="20" fillId="0" borderId="45" xfId="0" applyFont="1" applyFill="1" applyBorder="1" applyAlignment="1">
      <alignment horizontal="center" vertical="center"/>
    </xf>
    <xf numFmtId="0" fontId="15" fillId="0" borderId="46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left"/>
    </xf>
    <xf numFmtId="0" fontId="15" fillId="0" borderId="39" xfId="0" applyFont="1" applyFill="1" applyBorder="1" applyAlignment="1">
      <alignment horizontal="left"/>
    </xf>
    <xf numFmtId="0" fontId="15" fillId="0" borderId="40" xfId="0" applyFont="1" applyFill="1" applyBorder="1" applyAlignment="1">
      <alignment horizontal="left"/>
    </xf>
    <xf numFmtId="0" fontId="15" fillId="0" borderId="35" xfId="0" applyFont="1" applyFill="1" applyBorder="1" applyAlignment="1">
      <alignment horizontal="left"/>
    </xf>
    <xf numFmtId="0" fontId="15" fillId="0" borderId="36" xfId="0" applyFont="1" applyFill="1" applyBorder="1" applyAlignment="1">
      <alignment horizontal="left"/>
    </xf>
    <xf numFmtId="0" fontId="15" fillId="0" borderId="37" xfId="0" applyFont="1" applyFill="1" applyBorder="1" applyAlignment="1">
      <alignment horizontal="left"/>
    </xf>
    <xf numFmtId="0" fontId="0" fillId="0" borderId="35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20" fillId="0" borderId="60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5" fillId="0" borderId="38" xfId="0" applyFont="1" applyFill="1" applyBorder="1" applyAlignment="1">
      <alignment horizontal="center" vertical="center"/>
    </xf>
    <xf numFmtId="0" fontId="15" fillId="0" borderId="48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right" vertical="center"/>
    </xf>
    <xf numFmtId="0" fontId="15" fillId="0" borderId="3" xfId="0" applyFont="1" applyFill="1" applyBorder="1" applyAlignment="1">
      <alignment horizontal="right" vertical="center"/>
    </xf>
    <xf numFmtId="0" fontId="15" fillId="0" borderId="58" xfId="0" applyFont="1" applyFill="1" applyBorder="1" applyAlignment="1">
      <alignment horizontal="right" vertical="center"/>
    </xf>
    <xf numFmtId="0" fontId="0" fillId="0" borderId="38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 wrapText="1"/>
    </xf>
    <xf numFmtId="164" fontId="4" fillId="0" borderId="52" xfId="2" applyNumberFormat="1" applyFont="1" applyFill="1" applyBorder="1" applyAlignment="1">
      <alignment horizontal="center"/>
    </xf>
    <xf numFmtId="164" fontId="4" fillId="0" borderId="53" xfId="2" applyNumberFormat="1" applyFont="1" applyFill="1" applyBorder="1" applyAlignment="1">
      <alignment horizontal="center"/>
    </xf>
    <xf numFmtId="0" fontId="21" fillId="0" borderId="38" xfId="0" applyFont="1" applyFill="1" applyBorder="1" applyAlignment="1">
      <alignment horizontal="center" vertical="center"/>
    </xf>
    <xf numFmtId="0" fontId="21" fillId="0" borderId="39" xfId="0" applyFont="1" applyFill="1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0" fontId="21" fillId="0" borderId="48" xfId="0" applyFont="1" applyFill="1" applyBorder="1" applyAlignment="1">
      <alignment horizontal="center" vertical="center"/>
    </xf>
    <xf numFmtId="0" fontId="21" fillId="0" borderId="49" xfId="0" applyFont="1" applyFill="1" applyBorder="1" applyAlignment="1">
      <alignment horizontal="center" vertical="center"/>
    </xf>
    <xf numFmtId="0" fontId="21" fillId="0" borderId="50" xfId="0" applyFont="1" applyFill="1" applyBorder="1" applyAlignment="1">
      <alignment horizontal="center" vertical="center"/>
    </xf>
    <xf numFmtId="0" fontId="0" fillId="0" borderId="0" xfId="0" applyFill="1" applyBorder="1"/>
    <xf numFmtId="164" fontId="4" fillId="0" borderId="10" xfId="2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164" fontId="4" fillId="0" borderId="46" xfId="2" applyNumberFormat="1" applyFont="1" applyFill="1" applyBorder="1" applyAlignment="1">
      <alignment horizontal="center"/>
    </xf>
    <xf numFmtId="164" fontId="4" fillId="0" borderId="47" xfId="2" applyNumberFormat="1" applyFont="1" applyFill="1" applyBorder="1" applyAlignment="1">
      <alignment horizontal="center"/>
    </xf>
    <xf numFmtId="17" fontId="15" fillId="0" borderId="35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164" fontId="4" fillId="0" borderId="57" xfId="2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41" xfId="0" applyFill="1" applyBorder="1"/>
    <xf numFmtId="0" fontId="15" fillId="0" borderId="41" xfId="0" applyFont="1" applyFill="1" applyBorder="1" applyAlignment="1">
      <alignment horizontal="center" vertical="center"/>
    </xf>
    <xf numFmtId="0" fontId="20" fillId="0" borderId="41" xfId="0" applyFont="1" applyFill="1" applyBorder="1" applyAlignment="1">
      <alignment horizontal="center" vertical="center"/>
    </xf>
    <xf numFmtId="0" fontId="20" fillId="0" borderId="42" xfId="0" applyFont="1" applyFill="1" applyBorder="1" applyAlignment="1">
      <alignment horizontal="center"/>
    </xf>
    <xf numFmtId="0" fontId="20" fillId="0" borderId="43" xfId="0" applyFont="1" applyFill="1" applyBorder="1" applyAlignment="1">
      <alignment horizontal="center"/>
    </xf>
    <xf numFmtId="14" fontId="0" fillId="0" borderId="41" xfId="0" applyNumberFormat="1" applyFill="1" applyBorder="1"/>
    <xf numFmtId="0" fontId="0" fillId="0" borderId="43" xfId="0" applyFill="1" applyBorder="1"/>
    <xf numFmtId="0" fontId="15" fillId="0" borderId="41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left" vertical="center"/>
    </xf>
    <xf numFmtId="0" fontId="0" fillId="0" borderId="42" xfId="0" applyFill="1" applyBorder="1"/>
    <xf numFmtId="0" fontId="0" fillId="0" borderId="10" xfId="0" applyFill="1" applyBorder="1"/>
    <xf numFmtId="0" fontId="2" fillId="0" borderId="61" xfId="0" applyFont="1" applyFill="1" applyBorder="1" applyAlignment="1">
      <alignment horizontal="right"/>
    </xf>
    <xf numFmtId="0" fontId="2" fillId="0" borderId="55" xfId="0" applyFont="1" applyFill="1" applyBorder="1" applyAlignment="1">
      <alignment horizontal="right"/>
    </xf>
    <xf numFmtId="0" fontId="2" fillId="0" borderId="62" xfId="0" applyFont="1" applyFill="1" applyBorder="1" applyAlignment="1">
      <alignment horizontal="right"/>
    </xf>
    <xf numFmtId="0" fontId="2" fillId="0" borderId="0" xfId="0" applyFont="1" applyAlignment="1">
      <alignment horizontal="center"/>
    </xf>
  </cellXfs>
  <cellStyles count="5">
    <cellStyle name="Moneda 2" xfId="2"/>
    <cellStyle name="Moneda 2 2" xfId="4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8.xml"/><Relationship Id="rId21" Type="http://schemas.openxmlformats.org/officeDocument/2006/relationships/worksheet" Target="worksheets/sheet21.xml"/><Relationship Id="rId34" Type="http://schemas.openxmlformats.org/officeDocument/2006/relationships/chartsheet" Target="chartsheets/sheet1.xml"/><Relationship Id="rId42" Type="http://schemas.openxmlformats.org/officeDocument/2006/relationships/worksheet" Target="worksheets/sheet41.xml"/><Relationship Id="rId47" Type="http://schemas.openxmlformats.org/officeDocument/2006/relationships/worksheet" Target="worksheets/sheet46.xml"/><Relationship Id="rId50" Type="http://schemas.openxmlformats.org/officeDocument/2006/relationships/worksheet" Target="worksheets/sheet49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6.xml"/><Relationship Id="rId40" Type="http://schemas.openxmlformats.org/officeDocument/2006/relationships/worksheet" Target="worksheets/sheet39.xml"/><Relationship Id="rId45" Type="http://schemas.openxmlformats.org/officeDocument/2006/relationships/worksheet" Target="worksheets/sheet44.xml"/><Relationship Id="rId53" Type="http://schemas.openxmlformats.org/officeDocument/2006/relationships/worksheet" Target="worksheets/sheet5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4.xml"/><Relationship Id="rId43" Type="http://schemas.openxmlformats.org/officeDocument/2006/relationships/worksheet" Target="worksheets/sheet42.xml"/><Relationship Id="rId48" Type="http://schemas.openxmlformats.org/officeDocument/2006/relationships/worksheet" Target="worksheets/sheet47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7.xml"/><Relationship Id="rId46" Type="http://schemas.openxmlformats.org/officeDocument/2006/relationships/worksheet" Target="worksheets/sheet4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0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5.xml"/><Relationship Id="rId49" Type="http://schemas.openxmlformats.org/officeDocument/2006/relationships/worksheet" Target="worksheets/sheet48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3.xml"/><Relationship Id="rId52" Type="http://schemas.openxmlformats.org/officeDocument/2006/relationships/worksheet" Target="worksheets/sheet5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CATTANEO!$G$1:$G$7</c:f>
              <c:strCache>
                <c:ptCount val="7"/>
                <c:pt idx="0">
                  <c:v>COMISIÓN DE SERVICIO - VIÁTICOS Y GASTOS</c:v>
                </c:pt>
                <c:pt idx="2">
                  <c:v>MINISTERIO DE SALUD - HOSPITAL SAN CRISTOBAL</c:v>
                </c:pt>
                <c:pt idx="3">
                  <c:v>DIRECCION: COCHABAMBA 1456 - SAN CRISTOBAL </c:v>
                </c:pt>
                <c:pt idx="4">
                  <c:v>AGENTE: DR CATTANEO RICARDO</c:v>
                </c:pt>
                <c:pt idx="5">
                  <c:v>DESTINO:  RAFAELA - SANTA FE</c:v>
                </c:pt>
                <c:pt idx="6">
                  <c:v>MISION:  COMISION DE SERVICIO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CATTANEO!$A$8:$F$13</c:f>
              <c:multiLvlStrCache>
                <c:ptCount val="5"/>
                <c:lvl>
                  <c:pt idx="3">
                    <c:v>HORA</c:v>
                  </c:pt>
                  <c:pt idx="4">
                    <c:v>16,00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2">
                    <c:v>REGRESO</c:v>
                  </c:pt>
                  <c:pt idx="3">
                    <c:v>DIA</c:v>
                  </c:pt>
                  <c:pt idx="4">
                    <c:v>6</c:v>
                  </c:pt>
                </c:lvl>
                <c:lvl>
                  <c:pt idx="3">
                    <c:v>HORA</c:v>
                  </c:pt>
                  <c:pt idx="4">
                    <c:v>09,00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0">
                    <c:v>JUNIO</c:v>
                  </c:pt>
                  <c:pt idx="1">
                    <c:v>VERDADERO</c:v>
                  </c:pt>
                  <c:pt idx="2">
                    <c:v>SALIDA</c:v>
                  </c:pt>
                  <c:pt idx="3">
                    <c:v>DIA</c:v>
                  </c:pt>
                  <c:pt idx="4">
                    <c:v>6</c:v>
                  </c:pt>
                </c:lvl>
              </c:multiLvlStrCache>
            </c:multiLvlStrRef>
          </c:cat>
          <c:val>
            <c:numRef>
              <c:f>CATTANEO!$G$8:$G$13</c:f>
              <c:numCache>
                <c:formatCode>General</c:formatCode>
                <c:ptCount val="6"/>
                <c:pt idx="2">
                  <c:v>0</c:v>
                </c:pt>
                <c:pt idx="3">
                  <c:v>0</c:v>
                </c:pt>
                <c:pt idx="4" formatCode="#\ ?/?">
                  <c:v>0.5</c:v>
                </c:pt>
              </c:numCache>
            </c:numRef>
          </c:val>
        </c:ser>
        <c:ser>
          <c:idx val="1"/>
          <c:order val="1"/>
          <c:tx>
            <c:strRef>
              <c:f>CATTANEO!$H$1:$H$7</c:f>
              <c:strCache>
                <c:ptCount val="7"/>
                <c:pt idx="0">
                  <c:v>COMISIÓN DE SERVICIO - VIÁTICOS Y GASTOS</c:v>
                </c:pt>
                <c:pt idx="2">
                  <c:v>MINISTERIO DE SALUD - HOSPITAL SAN CRISTOBAL</c:v>
                </c:pt>
                <c:pt idx="3">
                  <c:v>DIRECCION: COCHABAMBA 1456 - SAN CRISTOBAL </c:v>
                </c:pt>
                <c:pt idx="4">
                  <c:v>AGENTE: DR CATTANEO RICARDO</c:v>
                </c:pt>
                <c:pt idx="5">
                  <c:v>DESTINO:  RAFAELA - SANTA FE</c:v>
                </c:pt>
                <c:pt idx="6">
                  <c:v>MISION:  COMISION DE SERVICIO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CATTANEO!$A$8:$F$13</c:f>
              <c:multiLvlStrCache>
                <c:ptCount val="5"/>
                <c:lvl>
                  <c:pt idx="3">
                    <c:v>HORA</c:v>
                  </c:pt>
                  <c:pt idx="4">
                    <c:v>16,00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2">
                    <c:v>REGRESO</c:v>
                  </c:pt>
                  <c:pt idx="3">
                    <c:v>DIA</c:v>
                  </c:pt>
                  <c:pt idx="4">
                    <c:v>6</c:v>
                  </c:pt>
                </c:lvl>
                <c:lvl>
                  <c:pt idx="3">
                    <c:v>HORA</c:v>
                  </c:pt>
                  <c:pt idx="4">
                    <c:v>09,00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0">
                    <c:v>JUNIO</c:v>
                  </c:pt>
                  <c:pt idx="1">
                    <c:v>VERDADERO</c:v>
                  </c:pt>
                  <c:pt idx="2">
                    <c:v>SALIDA</c:v>
                  </c:pt>
                  <c:pt idx="3">
                    <c:v>DIA</c:v>
                  </c:pt>
                  <c:pt idx="4">
                    <c:v>6</c:v>
                  </c:pt>
                </c:lvl>
              </c:multiLvlStrCache>
            </c:multiLvlStrRef>
          </c:cat>
          <c:val>
            <c:numRef>
              <c:f>CATTANEO!$H$8:$H$13</c:f>
              <c:numCache>
                <c:formatCode>General</c:formatCode>
                <c:ptCount val="6"/>
                <c:pt idx="3">
                  <c:v>0</c:v>
                </c:pt>
                <c:pt idx="4" formatCode="&quot;$&quot;#,##0_);[Red]\(&quot;$&quot;#,##0\)">
                  <c:v>84366</c:v>
                </c:pt>
              </c:numCache>
            </c:numRef>
          </c:val>
        </c:ser>
        <c:ser>
          <c:idx val="2"/>
          <c:order val="2"/>
          <c:tx>
            <c:strRef>
              <c:f>CATTANEO!$I$1:$I$7</c:f>
              <c:strCache>
                <c:ptCount val="7"/>
                <c:pt idx="0">
                  <c:v>COMISIÓN DE SERVICIO - VIÁTICOS Y GASTOS</c:v>
                </c:pt>
                <c:pt idx="2">
                  <c:v>MINISTERIO DE SALUD - HOSPITAL SAN CRISTOBAL</c:v>
                </c:pt>
                <c:pt idx="3">
                  <c:v>DIRECCION: COCHABAMBA 1456 - SAN CRISTOBAL </c:v>
                </c:pt>
                <c:pt idx="4">
                  <c:v>AGENTE: DR CATTANEO RICARDO</c:v>
                </c:pt>
                <c:pt idx="5">
                  <c:v>DESTINO:  RAFAELA - SANTA FE</c:v>
                </c:pt>
                <c:pt idx="6">
                  <c:v>MISION:  COMISION DE SERVICIO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CATTANEO!$A$8:$F$13</c:f>
              <c:multiLvlStrCache>
                <c:ptCount val="5"/>
                <c:lvl>
                  <c:pt idx="3">
                    <c:v>HORA</c:v>
                  </c:pt>
                  <c:pt idx="4">
                    <c:v>16,00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2">
                    <c:v>REGRESO</c:v>
                  </c:pt>
                  <c:pt idx="3">
                    <c:v>DIA</c:v>
                  </c:pt>
                  <c:pt idx="4">
                    <c:v>6</c:v>
                  </c:pt>
                </c:lvl>
                <c:lvl>
                  <c:pt idx="3">
                    <c:v>HORA</c:v>
                  </c:pt>
                  <c:pt idx="4">
                    <c:v>09,00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0">
                    <c:v>JUNIO</c:v>
                  </c:pt>
                  <c:pt idx="1">
                    <c:v>VERDADERO</c:v>
                  </c:pt>
                  <c:pt idx="2">
                    <c:v>SALIDA</c:v>
                  </c:pt>
                  <c:pt idx="3">
                    <c:v>DIA</c:v>
                  </c:pt>
                  <c:pt idx="4">
                    <c:v>6</c:v>
                  </c:pt>
                </c:lvl>
              </c:multiLvlStrCache>
            </c:multiLvlStrRef>
          </c:cat>
          <c:val>
            <c:numRef>
              <c:f>CATTANEO!$I$8:$I$13</c:f>
              <c:numCache>
                <c:formatCode>General</c:formatCode>
                <c:ptCount val="6"/>
                <c:pt idx="2">
                  <c:v>0</c:v>
                </c:pt>
                <c:pt idx="4" formatCode="_ [$$-2C0A]\ * #,##0.00_ ;_ [$$-2C0A]\ * \-#,##0.00_ ;_ [$$-2C0A]\ * &quot;-&quot;??_ ;_ @_ ">
                  <c:v>42183</c:v>
                </c:pt>
              </c:numCache>
            </c:numRef>
          </c:val>
        </c:ser>
        <c:ser>
          <c:idx val="3"/>
          <c:order val="3"/>
          <c:tx>
            <c:strRef>
              <c:f>CATTANEO!$J$1:$J$7</c:f>
              <c:strCache>
                <c:ptCount val="7"/>
                <c:pt idx="0">
                  <c:v>COMISIÓN DE SERVICIO - VIÁTICOS Y GASTOS</c:v>
                </c:pt>
                <c:pt idx="2">
                  <c:v>MINISTERIO DE SALUD - HOSPITAL SAN CRISTOBAL</c:v>
                </c:pt>
                <c:pt idx="3">
                  <c:v>DIRECCION: COCHABAMBA 1456 - SAN CRISTOBAL </c:v>
                </c:pt>
                <c:pt idx="4">
                  <c:v>CARGO</c:v>
                </c:pt>
                <c:pt idx="5">
                  <c:v>MEDICO</c:v>
                </c:pt>
                <c:pt idx="6">
                  <c:v>ITEM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CATTANEO!$A$8:$F$13</c:f>
              <c:multiLvlStrCache>
                <c:ptCount val="5"/>
                <c:lvl>
                  <c:pt idx="3">
                    <c:v>HORA</c:v>
                  </c:pt>
                  <c:pt idx="4">
                    <c:v>16,00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2">
                    <c:v>REGRESO</c:v>
                  </c:pt>
                  <c:pt idx="3">
                    <c:v>DIA</c:v>
                  </c:pt>
                  <c:pt idx="4">
                    <c:v>6</c:v>
                  </c:pt>
                </c:lvl>
                <c:lvl>
                  <c:pt idx="3">
                    <c:v>HORA</c:v>
                  </c:pt>
                  <c:pt idx="4">
                    <c:v>09,00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0">
                    <c:v>JUNIO</c:v>
                  </c:pt>
                  <c:pt idx="1">
                    <c:v>VERDADERO</c:v>
                  </c:pt>
                  <c:pt idx="2">
                    <c:v>SALIDA</c:v>
                  </c:pt>
                  <c:pt idx="3">
                    <c:v>DIA</c:v>
                  </c:pt>
                  <c:pt idx="4">
                    <c:v>6</c:v>
                  </c:pt>
                </c:lvl>
              </c:multiLvlStrCache>
            </c:multiLvlStrRef>
          </c:cat>
          <c:val>
            <c:numRef>
              <c:f>CATTANEO!$J$8:$J$13</c:f>
              <c:numCache>
                <c:formatCode>General</c:formatCode>
                <c:ptCount val="6"/>
                <c:pt idx="2">
                  <c:v>0</c:v>
                </c:pt>
              </c:numCache>
            </c:numRef>
          </c:val>
        </c:ser>
        <c:ser>
          <c:idx val="4"/>
          <c:order val="4"/>
          <c:tx>
            <c:strRef>
              <c:f>CATTANEO!$K$1:$K$7</c:f>
              <c:strCache>
                <c:ptCount val="7"/>
                <c:pt idx="0">
                  <c:v>COMISIÓN DE SERVICIO - VIÁTICOS Y GASTOS</c:v>
                </c:pt>
                <c:pt idx="2">
                  <c:v>MINISTERIO DE SALUD - HOSPITAL SAN CRISTOBAL</c:v>
                </c:pt>
                <c:pt idx="3">
                  <c:v>DIRECCION: COCHABAMBA 1456 - SAN CRISTOBAL </c:v>
                </c:pt>
                <c:pt idx="4">
                  <c:v>CARGO</c:v>
                </c:pt>
                <c:pt idx="5">
                  <c:v>MEDICO</c:v>
                </c:pt>
                <c:pt idx="6">
                  <c:v>SUELDO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CATTANEO!$A$8:$F$13</c:f>
              <c:multiLvlStrCache>
                <c:ptCount val="5"/>
                <c:lvl>
                  <c:pt idx="3">
                    <c:v>HORA</c:v>
                  </c:pt>
                  <c:pt idx="4">
                    <c:v>16,00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2">
                    <c:v>REGRESO</c:v>
                  </c:pt>
                  <c:pt idx="3">
                    <c:v>DIA</c:v>
                  </c:pt>
                  <c:pt idx="4">
                    <c:v>6</c:v>
                  </c:pt>
                </c:lvl>
                <c:lvl>
                  <c:pt idx="3">
                    <c:v>HORA</c:v>
                  </c:pt>
                  <c:pt idx="4">
                    <c:v>09,00</c:v>
                  </c:pt>
                </c:lvl>
                <c:lvl>
                  <c:pt idx="3">
                    <c:v>MES</c:v>
                  </c:pt>
                  <c:pt idx="4">
                    <c:v>6</c:v>
                  </c:pt>
                </c:lvl>
                <c:lvl>
                  <c:pt idx="0">
                    <c:v>JUNIO</c:v>
                  </c:pt>
                  <c:pt idx="1">
                    <c:v>VERDADERO</c:v>
                  </c:pt>
                  <c:pt idx="2">
                    <c:v>SALIDA</c:v>
                  </c:pt>
                  <c:pt idx="3">
                    <c:v>DIA</c:v>
                  </c:pt>
                  <c:pt idx="4">
                    <c:v>6</c:v>
                  </c:pt>
                </c:lvl>
              </c:multiLvlStrCache>
            </c:multiLvlStrRef>
          </c:cat>
          <c:val>
            <c:numRef>
              <c:f>CATTANEO!$K$8:$K$13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13488"/>
        <c:axId val="132412928"/>
      </c:barChart>
      <c:catAx>
        <c:axId val="13241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2412928"/>
        <c:crosses val="autoZero"/>
        <c:auto val="1"/>
        <c:lblAlgn val="ctr"/>
        <c:lblOffset val="100"/>
        <c:noMultiLvlLbl val="0"/>
      </c:catAx>
      <c:valAx>
        <c:axId val="13241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241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Q95"/>
  <sheetViews>
    <sheetView tabSelected="1" zoomScaleNormal="100" workbookViewId="0">
      <selection activeCell="A4" sqref="A4"/>
    </sheetView>
  </sheetViews>
  <sheetFormatPr baseColWidth="10" defaultRowHeight="15" x14ac:dyDescent="0.25"/>
  <cols>
    <col min="2" max="2" width="23.42578125" customWidth="1"/>
    <col min="3" max="3" width="5.85546875" customWidth="1"/>
    <col min="4" max="4" width="5.5703125" customWidth="1"/>
    <col min="5" max="5" width="7.28515625" customWidth="1"/>
    <col min="6" max="6" width="5.7109375" customWidth="1"/>
    <col min="7" max="7" width="5.42578125" customWidth="1"/>
    <col min="8" max="8" width="6.7109375" customWidth="1"/>
    <col min="9" max="9" width="7.42578125" customWidth="1"/>
    <col min="10" max="10" width="12.85546875" customWidth="1"/>
    <col min="11" max="11" width="14.5703125" customWidth="1"/>
    <col min="12" max="12" width="13.42578125" customWidth="1"/>
    <col min="13" max="13" width="12.42578125" customWidth="1"/>
    <col min="14" max="14" width="16.140625" customWidth="1"/>
    <col min="15" max="15" width="16" customWidth="1"/>
    <col min="16" max="16" width="13.42578125" customWidth="1"/>
  </cols>
  <sheetData>
    <row r="1" spans="1:16" ht="15.75" thickBot="1" x14ac:dyDescent="0.3">
      <c r="A1" s="382" t="s">
        <v>53</v>
      </c>
      <c r="B1" s="382" t="s">
        <v>0</v>
      </c>
      <c r="C1" s="386" t="s">
        <v>2</v>
      </c>
      <c r="D1" s="387"/>
      <c r="E1" s="388"/>
      <c r="F1" s="386" t="s">
        <v>6</v>
      </c>
      <c r="G1" s="387"/>
      <c r="H1" s="388"/>
      <c r="I1" s="385" t="s">
        <v>7</v>
      </c>
      <c r="J1" s="385"/>
      <c r="K1" s="384" t="s">
        <v>10</v>
      </c>
      <c r="L1" s="384" t="s">
        <v>11</v>
      </c>
      <c r="M1" s="384" t="s">
        <v>258</v>
      </c>
      <c r="N1" s="382" t="s">
        <v>10</v>
      </c>
      <c r="O1" s="384" t="s">
        <v>12</v>
      </c>
      <c r="P1" s="382" t="s">
        <v>10</v>
      </c>
    </row>
    <row r="2" spans="1:16" ht="15.75" thickBot="1" x14ac:dyDescent="0.3">
      <c r="A2" s="383"/>
      <c r="B2" s="383" t="s">
        <v>1</v>
      </c>
      <c r="C2" s="1" t="s">
        <v>3</v>
      </c>
      <c r="D2" s="2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8</v>
      </c>
      <c r="J2" s="1" t="s">
        <v>9</v>
      </c>
      <c r="K2" s="384"/>
      <c r="L2" s="384"/>
      <c r="M2" s="384"/>
      <c r="N2" s="383"/>
      <c r="O2" s="384"/>
      <c r="P2" s="383"/>
    </row>
    <row r="3" spans="1:16" x14ac:dyDescent="0.25">
      <c r="A3" s="132"/>
      <c r="B3" s="3"/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6"/>
      <c r="O3" s="5"/>
      <c r="P3" s="7"/>
    </row>
    <row r="4" spans="1:16" ht="18" customHeight="1" x14ac:dyDescent="0.25">
      <c r="A4" s="133" t="s">
        <v>114</v>
      </c>
      <c r="B4" s="8" t="s">
        <v>142</v>
      </c>
      <c r="C4" s="9">
        <v>2</v>
      </c>
      <c r="D4" s="10">
        <v>6</v>
      </c>
      <c r="E4" s="229">
        <v>4.1500000000000004</v>
      </c>
      <c r="F4" s="9">
        <v>2</v>
      </c>
      <c r="G4" s="10">
        <v>6</v>
      </c>
      <c r="H4" s="138" t="s">
        <v>71</v>
      </c>
      <c r="I4" s="12">
        <v>1</v>
      </c>
      <c r="J4" s="272">
        <v>86053</v>
      </c>
      <c r="K4" s="14">
        <f>J4*I4</f>
        <v>86053</v>
      </c>
      <c r="L4" s="186" t="s">
        <v>216</v>
      </c>
      <c r="M4" s="140"/>
      <c r="N4" s="16"/>
      <c r="O4" s="140"/>
      <c r="P4" s="242"/>
    </row>
    <row r="5" spans="1:16" ht="18" customHeight="1" x14ac:dyDescent="0.25">
      <c r="A5" s="133" t="s">
        <v>114</v>
      </c>
      <c r="B5" s="8" t="s">
        <v>311</v>
      </c>
      <c r="C5" s="229">
        <v>2</v>
      </c>
      <c r="D5" s="10">
        <v>6</v>
      </c>
      <c r="E5" s="229">
        <v>8</v>
      </c>
      <c r="F5" s="19">
        <v>3</v>
      </c>
      <c r="G5" s="10">
        <v>5</v>
      </c>
      <c r="H5" s="139" t="s">
        <v>312</v>
      </c>
      <c r="I5" s="12">
        <v>0.5</v>
      </c>
      <c r="J5" s="272">
        <v>86053</v>
      </c>
      <c r="K5" s="14">
        <f t="shared" ref="K5:K36" si="0">J5*I5</f>
        <v>43026.5</v>
      </c>
      <c r="L5" s="185" t="s">
        <v>342</v>
      </c>
      <c r="M5" s="140" t="s">
        <v>78</v>
      </c>
      <c r="N5" s="16">
        <f>K5</f>
        <v>43026.5</v>
      </c>
      <c r="O5" s="21"/>
      <c r="P5" s="289"/>
    </row>
    <row r="6" spans="1:16" ht="18" customHeight="1" x14ac:dyDescent="0.25">
      <c r="A6" s="133" t="s">
        <v>313</v>
      </c>
      <c r="B6" s="8" t="s">
        <v>314</v>
      </c>
      <c r="C6" s="18">
        <v>2</v>
      </c>
      <c r="D6" s="10">
        <v>6</v>
      </c>
      <c r="E6" s="138" t="s">
        <v>315</v>
      </c>
      <c r="F6" s="9">
        <v>2</v>
      </c>
      <c r="G6" s="10">
        <v>6</v>
      </c>
      <c r="H6" s="138" t="s">
        <v>316</v>
      </c>
      <c r="I6" s="12">
        <v>0.5</v>
      </c>
      <c r="J6" s="272">
        <v>86053</v>
      </c>
      <c r="K6" s="14">
        <f t="shared" si="0"/>
        <v>43026.5</v>
      </c>
      <c r="L6" s="186" t="s">
        <v>129</v>
      </c>
      <c r="M6" s="140" t="s">
        <v>67</v>
      </c>
      <c r="N6" s="16">
        <f>K6</f>
        <v>43026.5</v>
      </c>
      <c r="O6" s="140"/>
      <c r="P6" s="17"/>
    </row>
    <row r="7" spans="1:16" s="228" customFormat="1" ht="18" customHeight="1" x14ac:dyDescent="0.25">
      <c r="A7" s="133" t="s">
        <v>54</v>
      </c>
      <c r="B7" s="8" t="s">
        <v>317</v>
      </c>
      <c r="C7" s="18">
        <v>2</v>
      </c>
      <c r="D7" s="10">
        <v>6</v>
      </c>
      <c r="E7" s="138" t="s">
        <v>275</v>
      </c>
      <c r="F7" s="19">
        <v>3</v>
      </c>
      <c r="G7" s="10">
        <v>6</v>
      </c>
      <c r="H7" s="138" t="s">
        <v>318</v>
      </c>
      <c r="I7" s="12">
        <v>0.5</v>
      </c>
      <c r="J7" s="272">
        <v>86053</v>
      </c>
      <c r="K7" s="14">
        <f t="shared" si="0"/>
        <v>43026.5</v>
      </c>
      <c r="L7" s="186" t="s">
        <v>129</v>
      </c>
      <c r="M7" s="140" t="s">
        <v>415</v>
      </c>
      <c r="N7" s="16">
        <f>K7</f>
        <v>43026.5</v>
      </c>
      <c r="O7" s="15"/>
      <c r="P7" s="17"/>
    </row>
    <row r="8" spans="1:16" s="228" customFormat="1" ht="18" customHeight="1" x14ac:dyDescent="0.25">
      <c r="A8" s="133" t="s">
        <v>54</v>
      </c>
      <c r="B8" s="8" t="s">
        <v>337</v>
      </c>
      <c r="C8" s="9">
        <v>4</v>
      </c>
      <c r="D8" s="10">
        <v>6</v>
      </c>
      <c r="E8" s="138" t="s">
        <v>325</v>
      </c>
      <c r="F8" s="9">
        <v>4</v>
      </c>
      <c r="G8" s="10">
        <v>6</v>
      </c>
      <c r="H8" s="138" t="s">
        <v>230</v>
      </c>
      <c r="I8" s="12">
        <v>0.5</v>
      </c>
      <c r="J8" s="272">
        <v>86053</v>
      </c>
      <c r="K8" s="14">
        <f>J8*I8</f>
        <v>43026.5</v>
      </c>
      <c r="L8" s="185" t="s">
        <v>125</v>
      </c>
      <c r="M8" s="140" t="s">
        <v>78</v>
      </c>
      <c r="N8" s="16">
        <v>42183</v>
      </c>
      <c r="O8" s="15"/>
      <c r="P8" s="17"/>
    </row>
    <row r="9" spans="1:16" ht="18" customHeight="1" x14ac:dyDescent="0.25">
      <c r="A9" s="133" t="s">
        <v>54</v>
      </c>
      <c r="B9" s="8" t="s">
        <v>319</v>
      </c>
      <c r="C9" s="9">
        <v>5</v>
      </c>
      <c r="D9" s="10">
        <v>6</v>
      </c>
      <c r="E9" s="138" t="s">
        <v>320</v>
      </c>
      <c r="F9" s="19">
        <v>5</v>
      </c>
      <c r="G9" s="10">
        <v>6</v>
      </c>
      <c r="H9" s="138" t="s">
        <v>213</v>
      </c>
      <c r="I9" s="12">
        <v>0.5</v>
      </c>
      <c r="J9" s="272">
        <v>86053</v>
      </c>
      <c r="K9" s="14">
        <f t="shared" si="0"/>
        <v>43026.5</v>
      </c>
      <c r="L9" s="186" t="s">
        <v>129</v>
      </c>
      <c r="M9" s="140" t="s">
        <v>78</v>
      </c>
      <c r="N9" s="16">
        <f>K9</f>
        <v>43026.5</v>
      </c>
      <c r="O9" s="140"/>
      <c r="P9" s="242"/>
    </row>
    <row r="10" spans="1:16" ht="18" customHeight="1" x14ac:dyDescent="0.25">
      <c r="A10" s="133" t="s">
        <v>54</v>
      </c>
      <c r="B10" s="8" t="s">
        <v>321</v>
      </c>
      <c r="C10" s="9">
        <v>5</v>
      </c>
      <c r="D10" s="10">
        <v>6</v>
      </c>
      <c r="E10" s="138" t="s">
        <v>322</v>
      </c>
      <c r="F10" s="9">
        <v>5</v>
      </c>
      <c r="G10" s="10">
        <v>6</v>
      </c>
      <c r="H10" s="138" t="s">
        <v>224</v>
      </c>
      <c r="I10" s="12">
        <v>0.5</v>
      </c>
      <c r="J10" s="272">
        <v>86053</v>
      </c>
      <c r="K10" s="14">
        <f t="shared" si="0"/>
        <v>43026.5</v>
      </c>
      <c r="L10" s="185" t="s">
        <v>285</v>
      </c>
      <c r="M10" s="140" t="s">
        <v>323</v>
      </c>
      <c r="N10" s="16">
        <f>K10</f>
        <v>43026.5</v>
      </c>
      <c r="O10" s="21"/>
      <c r="P10" s="17"/>
    </row>
    <row r="11" spans="1:16" ht="18" customHeight="1" x14ac:dyDescent="0.25">
      <c r="A11" s="133" t="s">
        <v>54</v>
      </c>
      <c r="B11" s="8" t="s">
        <v>324</v>
      </c>
      <c r="C11" s="9">
        <v>5</v>
      </c>
      <c r="D11" s="10">
        <v>6</v>
      </c>
      <c r="E11" s="138" t="s">
        <v>325</v>
      </c>
      <c r="F11" s="19">
        <v>5</v>
      </c>
      <c r="G11" s="10">
        <v>6</v>
      </c>
      <c r="H11" s="138" t="s">
        <v>326</v>
      </c>
      <c r="I11" s="12">
        <v>0.5</v>
      </c>
      <c r="J11" s="272">
        <v>86053</v>
      </c>
      <c r="K11" s="14">
        <f t="shared" si="0"/>
        <v>43026.5</v>
      </c>
      <c r="L11" s="185" t="s">
        <v>216</v>
      </c>
      <c r="M11" s="140" t="s">
        <v>415</v>
      </c>
      <c r="N11" s="16">
        <f>K11</f>
        <v>43026.5</v>
      </c>
      <c r="O11" s="21"/>
      <c r="P11" s="17"/>
    </row>
    <row r="12" spans="1:16" s="228" customFormat="1" ht="18" customHeight="1" x14ac:dyDescent="0.25">
      <c r="A12" s="133" t="s">
        <v>114</v>
      </c>
      <c r="B12" s="8" t="s">
        <v>327</v>
      </c>
      <c r="C12" s="9">
        <v>5</v>
      </c>
      <c r="D12" s="10">
        <v>6</v>
      </c>
      <c r="E12" s="138" t="s">
        <v>288</v>
      </c>
      <c r="F12" s="19">
        <v>6</v>
      </c>
      <c r="G12" s="10">
        <v>6</v>
      </c>
      <c r="H12" s="138" t="s">
        <v>328</v>
      </c>
      <c r="I12" s="12">
        <v>0.5</v>
      </c>
      <c r="J12" s="272">
        <v>86053</v>
      </c>
      <c r="K12" s="14">
        <f t="shared" si="0"/>
        <v>43026.5</v>
      </c>
      <c r="L12" s="185" t="s">
        <v>129</v>
      </c>
      <c r="M12" s="140" t="s">
        <v>78</v>
      </c>
      <c r="N12" s="16">
        <f>K12</f>
        <v>43026.5</v>
      </c>
      <c r="O12" s="21"/>
      <c r="P12" s="17"/>
    </row>
    <row r="13" spans="1:16" ht="18" customHeight="1" x14ac:dyDescent="0.25">
      <c r="A13" s="133" t="s">
        <v>54</v>
      </c>
      <c r="B13" s="8" t="s">
        <v>329</v>
      </c>
      <c r="C13" s="9">
        <v>6</v>
      </c>
      <c r="D13" s="10">
        <v>6</v>
      </c>
      <c r="E13" s="138" t="s">
        <v>325</v>
      </c>
      <c r="F13" s="19">
        <v>6</v>
      </c>
      <c r="G13" s="10">
        <v>6</v>
      </c>
      <c r="H13" s="138" t="s">
        <v>75</v>
      </c>
      <c r="I13" s="12">
        <v>0.5</v>
      </c>
      <c r="J13" s="272">
        <v>86053</v>
      </c>
      <c r="K13" s="14">
        <f t="shared" si="0"/>
        <v>43026.5</v>
      </c>
      <c r="L13" s="185" t="s">
        <v>285</v>
      </c>
      <c r="M13" s="140" t="s">
        <v>184</v>
      </c>
      <c r="N13" s="16">
        <f>K12</f>
        <v>43026.5</v>
      </c>
      <c r="O13" s="21" t="s">
        <v>268</v>
      </c>
      <c r="P13" s="16">
        <f>J13/2</f>
        <v>43026.5</v>
      </c>
    </row>
    <row r="14" spans="1:16" ht="18" customHeight="1" x14ac:dyDescent="0.25">
      <c r="A14" s="133" t="s">
        <v>54</v>
      </c>
      <c r="B14" s="8" t="s">
        <v>330</v>
      </c>
      <c r="C14" s="9">
        <v>6</v>
      </c>
      <c r="D14" s="10">
        <v>6</v>
      </c>
      <c r="E14" s="138" t="s">
        <v>86</v>
      </c>
      <c r="F14" s="9">
        <v>6</v>
      </c>
      <c r="G14" s="10">
        <v>6</v>
      </c>
      <c r="H14" s="138" t="s">
        <v>224</v>
      </c>
      <c r="I14" s="12">
        <v>0.5</v>
      </c>
      <c r="J14" s="272">
        <v>86053</v>
      </c>
      <c r="K14" s="14">
        <f t="shared" si="0"/>
        <v>43026.5</v>
      </c>
      <c r="L14" s="186" t="s">
        <v>285</v>
      </c>
      <c r="M14" s="140" t="s">
        <v>184</v>
      </c>
      <c r="N14" s="16">
        <f>K14</f>
        <v>43026.5</v>
      </c>
      <c r="O14" s="140"/>
      <c r="P14" s="329"/>
    </row>
    <row r="15" spans="1:16" ht="18" customHeight="1" x14ac:dyDescent="0.25">
      <c r="A15" s="133" t="s">
        <v>54</v>
      </c>
      <c r="B15" s="8" t="s">
        <v>331</v>
      </c>
      <c r="C15" s="9">
        <v>6</v>
      </c>
      <c r="D15" s="10">
        <v>6</v>
      </c>
      <c r="E15" s="138" t="s">
        <v>332</v>
      </c>
      <c r="F15" s="19">
        <v>6</v>
      </c>
      <c r="G15" s="10">
        <v>6</v>
      </c>
      <c r="H15" s="139" t="s">
        <v>244</v>
      </c>
      <c r="I15" s="12">
        <v>0.5</v>
      </c>
      <c r="J15" s="272">
        <v>86053</v>
      </c>
      <c r="K15" s="14">
        <f t="shared" si="0"/>
        <v>43026.5</v>
      </c>
      <c r="L15" s="185" t="s">
        <v>216</v>
      </c>
      <c r="M15" s="140" t="s">
        <v>78</v>
      </c>
      <c r="N15" s="16">
        <f>K15</f>
        <v>43026.5</v>
      </c>
      <c r="O15" s="21"/>
      <c r="P15" s="329"/>
    </row>
    <row r="16" spans="1:16" s="228" customFormat="1" ht="18" customHeight="1" x14ac:dyDescent="0.25">
      <c r="A16" s="133" t="s">
        <v>54</v>
      </c>
      <c r="B16" s="8" t="s">
        <v>333</v>
      </c>
      <c r="C16" s="9">
        <v>7</v>
      </c>
      <c r="D16" s="10">
        <v>6</v>
      </c>
      <c r="E16" s="138" t="s">
        <v>312</v>
      </c>
      <c r="F16" s="19">
        <v>7</v>
      </c>
      <c r="G16" s="10">
        <v>6</v>
      </c>
      <c r="H16" s="139" t="s">
        <v>210</v>
      </c>
      <c r="I16" s="12">
        <v>0.5</v>
      </c>
      <c r="J16" s="272">
        <v>86053</v>
      </c>
      <c r="K16" s="14">
        <f t="shared" si="0"/>
        <v>43026.5</v>
      </c>
      <c r="L16" s="185" t="s">
        <v>216</v>
      </c>
      <c r="M16" s="140" t="s">
        <v>78</v>
      </c>
      <c r="N16" s="16">
        <f>K16</f>
        <v>43026.5</v>
      </c>
      <c r="O16" s="21"/>
      <c r="P16" s="242"/>
    </row>
    <row r="17" spans="1:16" ht="18" customHeight="1" x14ac:dyDescent="0.25">
      <c r="A17" s="133" t="s">
        <v>54</v>
      </c>
      <c r="B17" s="8" t="s">
        <v>334</v>
      </c>
      <c r="C17" s="9">
        <v>7</v>
      </c>
      <c r="D17" s="10">
        <v>6</v>
      </c>
      <c r="E17" s="138" t="s">
        <v>124</v>
      </c>
      <c r="F17" s="9">
        <v>8</v>
      </c>
      <c r="G17" s="10">
        <v>6</v>
      </c>
      <c r="H17" s="138" t="s">
        <v>328</v>
      </c>
      <c r="I17" s="12">
        <v>0.5</v>
      </c>
      <c r="J17" s="272">
        <v>86053</v>
      </c>
      <c r="K17" s="14">
        <f t="shared" si="0"/>
        <v>43026.5</v>
      </c>
      <c r="L17" s="185" t="s">
        <v>129</v>
      </c>
      <c r="M17" s="140" t="s">
        <v>415</v>
      </c>
      <c r="N17" s="16">
        <f>K17</f>
        <v>43026.5</v>
      </c>
      <c r="O17" s="8"/>
      <c r="P17" s="17"/>
    </row>
    <row r="18" spans="1:16" s="228" customFormat="1" ht="18" customHeight="1" x14ac:dyDescent="0.25">
      <c r="A18" s="133" t="s">
        <v>114</v>
      </c>
      <c r="B18" s="8" t="s">
        <v>335</v>
      </c>
      <c r="C18" s="9">
        <v>8</v>
      </c>
      <c r="D18" s="10">
        <v>6</v>
      </c>
      <c r="E18" s="138" t="s">
        <v>325</v>
      </c>
      <c r="F18" s="19">
        <v>8</v>
      </c>
      <c r="G18" s="10">
        <v>6</v>
      </c>
      <c r="H18" s="138" t="s">
        <v>230</v>
      </c>
      <c r="I18" s="12">
        <v>0.5</v>
      </c>
      <c r="J18" s="272">
        <v>86053</v>
      </c>
      <c r="K18" s="14">
        <f t="shared" si="0"/>
        <v>43026.5</v>
      </c>
      <c r="L18" s="185" t="s">
        <v>125</v>
      </c>
      <c r="M18" s="140" t="s">
        <v>78</v>
      </c>
      <c r="N18" s="16">
        <f>K18</f>
        <v>43026.5</v>
      </c>
      <c r="O18" s="8"/>
      <c r="P18" s="17"/>
    </row>
    <row r="19" spans="1:16" ht="18" customHeight="1" x14ac:dyDescent="0.25">
      <c r="A19" s="323" t="s">
        <v>114</v>
      </c>
      <c r="B19" s="8" t="s">
        <v>142</v>
      </c>
      <c r="C19" s="9">
        <v>9</v>
      </c>
      <c r="D19" s="10">
        <v>6</v>
      </c>
      <c r="E19" s="138" t="s">
        <v>336</v>
      </c>
      <c r="F19" s="22">
        <v>9</v>
      </c>
      <c r="G19" s="10">
        <v>6</v>
      </c>
      <c r="H19" s="138" t="s">
        <v>215</v>
      </c>
      <c r="I19" s="12">
        <v>0.5</v>
      </c>
      <c r="J19" s="272">
        <v>86053</v>
      </c>
      <c r="K19" s="14">
        <f t="shared" si="0"/>
        <v>43026.5</v>
      </c>
      <c r="L19" s="186" t="s">
        <v>125</v>
      </c>
      <c r="M19" s="140"/>
      <c r="N19" s="16"/>
      <c r="O19" s="15"/>
      <c r="P19" s="17"/>
    </row>
    <row r="20" spans="1:16" ht="18" customHeight="1" x14ac:dyDescent="0.25">
      <c r="A20" s="365" t="s">
        <v>114</v>
      </c>
      <c r="B20" s="366" t="s">
        <v>338</v>
      </c>
      <c r="C20" s="367">
        <v>9</v>
      </c>
      <c r="D20" s="368">
        <v>6</v>
      </c>
      <c r="E20" s="138" t="s">
        <v>339</v>
      </c>
      <c r="F20" s="369">
        <v>9</v>
      </c>
      <c r="G20" s="368">
        <v>6</v>
      </c>
      <c r="H20" s="138" t="s">
        <v>272</v>
      </c>
      <c r="I20" s="12">
        <v>0.5</v>
      </c>
      <c r="J20" s="272">
        <v>86053</v>
      </c>
      <c r="K20" s="14">
        <f t="shared" si="0"/>
        <v>43026.5</v>
      </c>
      <c r="L20" s="370" t="s">
        <v>129</v>
      </c>
      <c r="N20" s="16"/>
      <c r="O20" s="21"/>
      <c r="P20" s="289"/>
    </row>
    <row r="21" spans="1:16" ht="18" customHeight="1" x14ac:dyDescent="0.25">
      <c r="A21" s="133" t="s">
        <v>114</v>
      </c>
      <c r="B21" s="8" t="s">
        <v>340</v>
      </c>
      <c r="C21" s="9">
        <v>9</v>
      </c>
      <c r="D21" s="10">
        <v>6</v>
      </c>
      <c r="E21" s="138" t="s">
        <v>74</v>
      </c>
      <c r="F21" s="19">
        <v>9</v>
      </c>
      <c r="G21" s="10">
        <v>6</v>
      </c>
      <c r="H21" s="138" t="s">
        <v>341</v>
      </c>
      <c r="I21" s="12">
        <v>0.5</v>
      </c>
      <c r="J21" s="272">
        <v>86053</v>
      </c>
      <c r="K21" s="14">
        <f t="shared" si="0"/>
        <v>43026.5</v>
      </c>
      <c r="L21" s="185" t="s">
        <v>342</v>
      </c>
      <c r="M21" s="140"/>
      <c r="N21" s="16"/>
      <c r="O21" s="140"/>
      <c r="P21" s="289"/>
    </row>
    <row r="22" spans="1:16" ht="18" customHeight="1" x14ac:dyDescent="0.25">
      <c r="A22" s="259" t="s">
        <v>54</v>
      </c>
      <c r="B22" s="243" t="s">
        <v>343</v>
      </c>
      <c r="C22" s="244">
        <v>11</v>
      </c>
      <c r="D22" s="10">
        <v>6</v>
      </c>
      <c r="E22" s="138" t="s">
        <v>213</v>
      </c>
      <c r="F22" s="246">
        <v>11</v>
      </c>
      <c r="G22" s="10">
        <v>6</v>
      </c>
      <c r="H22" s="138" t="s">
        <v>344</v>
      </c>
      <c r="I22" s="247">
        <v>0.5</v>
      </c>
      <c r="J22" s="272">
        <v>86053</v>
      </c>
      <c r="K22" s="14">
        <f t="shared" si="0"/>
        <v>43026.5</v>
      </c>
      <c r="L22" s="185" t="s">
        <v>125</v>
      </c>
      <c r="M22" s="249" t="s">
        <v>78</v>
      </c>
      <c r="N22" s="16">
        <f>K22</f>
        <v>43026.5</v>
      </c>
      <c r="O22" s="140" t="s">
        <v>345</v>
      </c>
      <c r="P22" s="16">
        <f>J22/2</f>
        <v>43026.5</v>
      </c>
    </row>
    <row r="23" spans="1:16" ht="18" customHeight="1" x14ac:dyDescent="0.25">
      <c r="A23" s="134" t="s">
        <v>114</v>
      </c>
      <c r="B23" s="8" t="s">
        <v>346</v>
      </c>
      <c r="C23" s="9">
        <v>12</v>
      </c>
      <c r="D23" s="10">
        <v>6</v>
      </c>
      <c r="E23" s="138" t="s">
        <v>187</v>
      </c>
      <c r="F23" s="18">
        <v>12</v>
      </c>
      <c r="G23" s="10">
        <v>6</v>
      </c>
      <c r="H23" s="138" t="s">
        <v>204</v>
      </c>
      <c r="I23" s="12">
        <v>0.5</v>
      </c>
      <c r="J23" s="272">
        <v>86053</v>
      </c>
      <c r="K23" s="14">
        <f t="shared" si="0"/>
        <v>43026.5</v>
      </c>
      <c r="L23" s="186" t="s">
        <v>129</v>
      </c>
      <c r="M23" s="140" t="s">
        <v>415</v>
      </c>
      <c r="N23" s="16">
        <f>K23</f>
        <v>43026.5</v>
      </c>
      <c r="O23" s="15"/>
      <c r="P23" s="17"/>
    </row>
    <row r="24" spans="1:16" ht="18" customHeight="1" x14ac:dyDescent="0.25">
      <c r="A24" s="133" t="s">
        <v>54</v>
      </c>
      <c r="B24" s="8" t="s">
        <v>347</v>
      </c>
      <c r="C24" s="9">
        <v>13</v>
      </c>
      <c r="D24" s="10">
        <v>6</v>
      </c>
      <c r="E24" s="138" t="s">
        <v>348</v>
      </c>
      <c r="F24" s="19">
        <v>13</v>
      </c>
      <c r="G24" s="10">
        <v>6</v>
      </c>
      <c r="H24" s="138" t="s">
        <v>74</v>
      </c>
      <c r="I24" s="12">
        <v>0.5</v>
      </c>
      <c r="J24" s="272">
        <v>86053</v>
      </c>
      <c r="K24" s="14">
        <f t="shared" si="0"/>
        <v>43026.5</v>
      </c>
      <c r="L24" s="185" t="s">
        <v>125</v>
      </c>
      <c r="M24" s="140" t="s">
        <v>184</v>
      </c>
      <c r="N24" s="16">
        <f>K24</f>
        <v>43026.5</v>
      </c>
      <c r="O24" s="21"/>
      <c r="P24" s="289"/>
    </row>
    <row r="25" spans="1:16" ht="18" customHeight="1" x14ac:dyDescent="0.25">
      <c r="A25" s="133" t="s">
        <v>313</v>
      </c>
      <c r="B25" s="8" t="s">
        <v>349</v>
      </c>
      <c r="C25" s="9">
        <v>14</v>
      </c>
      <c r="D25" s="10">
        <v>6</v>
      </c>
      <c r="E25" s="138" t="s">
        <v>350</v>
      </c>
      <c r="F25" s="9">
        <v>14</v>
      </c>
      <c r="G25" s="10">
        <v>6</v>
      </c>
      <c r="H25" s="138" t="s">
        <v>246</v>
      </c>
      <c r="I25" s="12">
        <v>0.5</v>
      </c>
      <c r="J25" s="272">
        <v>86053</v>
      </c>
      <c r="K25" s="14">
        <f t="shared" si="0"/>
        <v>43026.5</v>
      </c>
      <c r="L25" s="185" t="s">
        <v>240</v>
      </c>
      <c r="M25" s="140"/>
      <c r="N25" s="16"/>
      <c r="O25" s="140"/>
      <c r="P25" s="17"/>
    </row>
    <row r="26" spans="1:16" ht="18" customHeight="1" x14ac:dyDescent="0.25">
      <c r="A26" s="133" t="s">
        <v>114</v>
      </c>
      <c r="B26" s="8" t="s">
        <v>142</v>
      </c>
      <c r="C26" s="9">
        <v>16</v>
      </c>
      <c r="D26" s="10">
        <v>6</v>
      </c>
      <c r="E26" s="138" t="s">
        <v>336</v>
      </c>
      <c r="F26" s="19">
        <v>16</v>
      </c>
      <c r="G26" s="10">
        <v>6</v>
      </c>
      <c r="H26" s="138" t="s">
        <v>71</v>
      </c>
      <c r="I26" s="12">
        <v>1</v>
      </c>
      <c r="J26" s="272">
        <v>86053</v>
      </c>
      <c r="K26" s="14">
        <f t="shared" si="0"/>
        <v>86053</v>
      </c>
      <c r="L26" s="185" t="s">
        <v>216</v>
      </c>
      <c r="M26" s="140"/>
      <c r="N26" s="16"/>
      <c r="O26" s="140"/>
      <c r="P26" s="329"/>
    </row>
    <row r="27" spans="1:16" ht="18" customHeight="1" x14ac:dyDescent="0.25">
      <c r="A27" s="135" t="s">
        <v>114</v>
      </c>
      <c r="B27" s="8" t="s">
        <v>287</v>
      </c>
      <c r="C27" s="9">
        <v>16</v>
      </c>
      <c r="D27" s="10">
        <v>6</v>
      </c>
      <c r="E27" s="138" t="s">
        <v>351</v>
      </c>
      <c r="F27" s="19">
        <v>16</v>
      </c>
      <c r="G27" s="10">
        <v>6</v>
      </c>
      <c r="H27" s="138" t="s">
        <v>352</v>
      </c>
      <c r="I27" s="12">
        <v>0.5</v>
      </c>
      <c r="J27" s="272">
        <v>86053</v>
      </c>
      <c r="K27" s="14">
        <f t="shared" si="0"/>
        <v>43026.5</v>
      </c>
      <c r="L27" s="185" t="s">
        <v>342</v>
      </c>
      <c r="M27" s="140" t="s">
        <v>78</v>
      </c>
      <c r="N27" s="16">
        <f>K27</f>
        <v>43026.5</v>
      </c>
      <c r="O27" s="140"/>
      <c r="P27" s="17"/>
    </row>
    <row r="28" spans="1:16" ht="18" customHeight="1" x14ac:dyDescent="0.25">
      <c r="A28" s="184" t="s">
        <v>54</v>
      </c>
      <c r="B28" s="8" t="s">
        <v>353</v>
      </c>
      <c r="C28" s="9">
        <v>17</v>
      </c>
      <c r="D28" s="10">
        <v>6</v>
      </c>
      <c r="E28" s="138" t="s">
        <v>188</v>
      </c>
      <c r="F28" s="9">
        <v>17</v>
      </c>
      <c r="G28" s="10">
        <v>6</v>
      </c>
      <c r="H28" s="138" t="s">
        <v>354</v>
      </c>
      <c r="I28" s="12">
        <v>0.5</v>
      </c>
      <c r="J28" s="272">
        <v>86053</v>
      </c>
      <c r="K28" s="14">
        <f t="shared" si="0"/>
        <v>43026.5</v>
      </c>
      <c r="L28" s="185" t="s">
        <v>125</v>
      </c>
      <c r="M28" s="140" t="s">
        <v>78</v>
      </c>
      <c r="N28" s="16">
        <f>K28</f>
        <v>43026.5</v>
      </c>
      <c r="O28" s="140"/>
      <c r="P28" s="329"/>
    </row>
    <row r="29" spans="1:16" ht="18" customHeight="1" x14ac:dyDescent="0.25">
      <c r="A29" s="135" t="s">
        <v>54</v>
      </c>
      <c r="B29" s="8" t="s">
        <v>355</v>
      </c>
      <c r="C29" s="9">
        <v>17</v>
      </c>
      <c r="D29" s="10">
        <v>6</v>
      </c>
      <c r="E29" s="138" t="s">
        <v>189</v>
      </c>
      <c r="F29" s="19">
        <v>17</v>
      </c>
      <c r="G29" s="10">
        <v>6</v>
      </c>
      <c r="H29" s="138" t="s">
        <v>275</v>
      </c>
      <c r="I29" s="12">
        <v>0.5</v>
      </c>
      <c r="J29" s="272">
        <v>86053</v>
      </c>
      <c r="K29" s="14">
        <f t="shared" si="0"/>
        <v>43026.5</v>
      </c>
      <c r="L29" s="185" t="s">
        <v>129</v>
      </c>
      <c r="M29" s="140" t="s">
        <v>184</v>
      </c>
      <c r="N29" s="16">
        <f>K29</f>
        <v>43026.5</v>
      </c>
      <c r="O29" s="140"/>
      <c r="P29" s="329"/>
    </row>
    <row r="30" spans="1:16" ht="18" customHeight="1" x14ac:dyDescent="0.25">
      <c r="A30" s="135" t="s">
        <v>54</v>
      </c>
      <c r="B30" s="8" t="s">
        <v>142</v>
      </c>
      <c r="C30" s="9">
        <v>18</v>
      </c>
      <c r="D30" s="10">
        <v>6</v>
      </c>
      <c r="E30" s="138" t="s">
        <v>350</v>
      </c>
      <c r="F30" s="19">
        <v>18</v>
      </c>
      <c r="G30" s="10">
        <v>6</v>
      </c>
      <c r="H30" s="138" t="s">
        <v>356</v>
      </c>
      <c r="I30" s="12">
        <v>0.5</v>
      </c>
      <c r="J30" s="272">
        <v>86053</v>
      </c>
      <c r="K30" s="14">
        <f t="shared" si="0"/>
        <v>43026.5</v>
      </c>
      <c r="L30" s="185" t="s">
        <v>240</v>
      </c>
      <c r="M30" s="140"/>
      <c r="N30" s="16"/>
      <c r="O30" s="15"/>
      <c r="P30" s="17"/>
    </row>
    <row r="31" spans="1:16" ht="18" customHeight="1" x14ac:dyDescent="0.25">
      <c r="A31" s="135" t="s">
        <v>54</v>
      </c>
      <c r="B31" s="8" t="s">
        <v>357</v>
      </c>
      <c r="C31" s="9">
        <v>18</v>
      </c>
      <c r="D31" s="10">
        <v>6</v>
      </c>
      <c r="E31" s="138" t="s">
        <v>312</v>
      </c>
      <c r="F31" s="9">
        <v>18</v>
      </c>
      <c r="G31" s="10">
        <v>6</v>
      </c>
      <c r="H31" s="138" t="s">
        <v>358</v>
      </c>
      <c r="I31" s="12">
        <v>0.5</v>
      </c>
      <c r="J31" s="272">
        <v>86053</v>
      </c>
      <c r="K31" s="14">
        <f t="shared" si="0"/>
        <v>43026.5</v>
      </c>
      <c r="L31" s="185" t="s">
        <v>125</v>
      </c>
      <c r="M31" s="140" t="s">
        <v>78</v>
      </c>
      <c r="N31" s="16">
        <f t="shared" ref="N31:N37" si="1">K31</f>
        <v>43026.5</v>
      </c>
      <c r="O31" s="140"/>
      <c r="P31" s="242"/>
    </row>
    <row r="32" spans="1:16" ht="18" customHeight="1" x14ac:dyDescent="0.25">
      <c r="A32" s="135" t="s">
        <v>54</v>
      </c>
      <c r="B32" s="8" t="s">
        <v>324</v>
      </c>
      <c r="C32" s="9">
        <v>18</v>
      </c>
      <c r="D32" s="10">
        <v>6</v>
      </c>
      <c r="E32" s="138" t="s">
        <v>359</v>
      </c>
      <c r="F32" s="19">
        <v>18</v>
      </c>
      <c r="G32" s="10">
        <v>6</v>
      </c>
      <c r="H32" s="138" t="s">
        <v>224</v>
      </c>
      <c r="I32" s="12">
        <v>0.5</v>
      </c>
      <c r="J32" s="272">
        <v>86053</v>
      </c>
      <c r="K32" s="14">
        <f t="shared" si="0"/>
        <v>43026.5</v>
      </c>
      <c r="L32" s="185" t="s">
        <v>285</v>
      </c>
      <c r="M32" s="140" t="s">
        <v>284</v>
      </c>
      <c r="N32" s="16">
        <f t="shared" si="1"/>
        <v>43026.5</v>
      </c>
      <c r="O32" s="140"/>
      <c r="P32" s="17"/>
    </row>
    <row r="33" spans="1:17" ht="18" customHeight="1" x14ac:dyDescent="0.25">
      <c r="A33" s="136" t="s">
        <v>114</v>
      </c>
      <c r="B33" s="8" t="s">
        <v>360</v>
      </c>
      <c r="C33" s="9">
        <v>20</v>
      </c>
      <c r="D33" s="10">
        <v>6</v>
      </c>
      <c r="E33" s="138" t="s">
        <v>119</v>
      </c>
      <c r="F33" s="9">
        <v>21</v>
      </c>
      <c r="G33" s="10">
        <v>6</v>
      </c>
      <c r="H33" s="138" t="s">
        <v>361</v>
      </c>
      <c r="I33" s="12">
        <v>0.5</v>
      </c>
      <c r="J33" s="272">
        <v>86053</v>
      </c>
      <c r="K33" s="14">
        <f t="shared" si="0"/>
        <v>43026.5</v>
      </c>
      <c r="L33" s="185" t="s">
        <v>362</v>
      </c>
      <c r="M33" s="140" t="s">
        <v>184</v>
      </c>
      <c r="N33" s="16">
        <f t="shared" si="1"/>
        <v>43026.5</v>
      </c>
      <c r="O33" s="15"/>
      <c r="P33" s="17"/>
      <c r="Q33" s="202"/>
    </row>
    <row r="34" spans="1:17" ht="18" customHeight="1" x14ac:dyDescent="0.25">
      <c r="A34" s="135" t="s">
        <v>54</v>
      </c>
      <c r="B34" s="8" t="s">
        <v>363</v>
      </c>
      <c r="C34" s="9">
        <v>20</v>
      </c>
      <c r="D34" s="10">
        <v>6</v>
      </c>
      <c r="E34" s="138" t="s">
        <v>224</v>
      </c>
      <c r="F34" s="19">
        <v>21</v>
      </c>
      <c r="G34" s="10">
        <v>6</v>
      </c>
      <c r="H34" s="138" t="s">
        <v>188</v>
      </c>
      <c r="I34" s="12">
        <v>0.5</v>
      </c>
      <c r="J34" s="272">
        <v>86053</v>
      </c>
      <c r="K34" s="14">
        <f t="shared" si="0"/>
        <v>43026.5</v>
      </c>
      <c r="L34" s="186" t="s">
        <v>240</v>
      </c>
      <c r="M34" s="140" t="s">
        <v>78</v>
      </c>
      <c r="N34" s="16">
        <f t="shared" si="1"/>
        <v>43026.5</v>
      </c>
      <c r="O34" s="140"/>
      <c r="P34" s="242"/>
    </row>
    <row r="35" spans="1:17" ht="18" customHeight="1" x14ac:dyDescent="0.25">
      <c r="A35" s="135" t="s">
        <v>114</v>
      </c>
      <c r="B35" s="8" t="s">
        <v>363</v>
      </c>
      <c r="C35" s="23">
        <v>21</v>
      </c>
      <c r="D35" s="10">
        <v>6</v>
      </c>
      <c r="E35" s="138" t="s">
        <v>364</v>
      </c>
      <c r="F35" s="9">
        <v>22</v>
      </c>
      <c r="G35" s="10">
        <v>6</v>
      </c>
      <c r="H35" s="138" t="s">
        <v>365</v>
      </c>
      <c r="I35" s="12">
        <v>0.5</v>
      </c>
      <c r="J35" s="272">
        <v>86053</v>
      </c>
      <c r="K35" s="14">
        <f t="shared" si="0"/>
        <v>43026.5</v>
      </c>
      <c r="L35" s="186" t="s">
        <v>285</v>
      </c>
      <c r="M35" s="140" t="s">
        <v>366</v>
      </c>
      <c r="N35" s="16">
        <f t="shared" si="1"/>
        <v>43026.5</v>
      </c>
      <c r="O35" s="140"/>
      <c r="P35" s="329"/>
    </row>
    <row r="36" spans="1:17" s="228" customFormat="1" ht="18" customHeight="1" x14ac:dyDescent="0.25">
      <c r="A36" s="135" t="s">
        <v>54</v>
      </c>
      <c r="B36" s="8" t="s">
        <v>367</v>
      </c>
      <c r="C36" s="23">
        <v>21</v>
      </c>
      <c r="D36" s="10">
        <v>6</v>
      </c>
      <c r="E36" s="138" t="s">
        <v>368</v>
      </c>
      <c r="F36" s="19">
        <v>21</v>
      </c>
      <c r="G36" s="10">
        <v>6</v>
      </c>
      <c r="H36" s="138" t="s">
        <v>276</v>
      </c>
      <c r="I36" s="12">
        <v>0.5</v>
      </c>
      <c r="J36" s="272">
        <v>86053</v>
      </c>
      <c r="K36" s="14">
        <f t="shared" si="0"/>
        <v>43026.5</v>
      </c>
      <c r="L36" s="186" t="s">
        <v>285</v>
      </c>
      <c r="M36" s="140" t="s">
        <v>78</v>
      </c>
      <c r="N36" s="16">
        <f t="shared" si="1"/>
        <v>43026.5</v>
      </c>
      <c r="O36" s="140" t="s">
        <v>369</v>
      </c>
      <c r="P36" s="16">
        <f>J36/2</f>
        <v>43026.5</v>
      </c>
    </row>
    <row r="37" spans="1:17" ht="18" customHeight="1" x14ac:dyDescent="0.25">
      <c r="A37" s="135" t="s">
        <v>114</v>
      </c>
      <c r="B37" s="8" t="s">
        <v>370</v>
      </c>
      <c r="C37" s="9">
        <v>22</v>
      </c>
      <c r="D37" s="10">
        <v>6</v>
      </c>
      <c r="E37" s="138" t="s">
        <v>350</v>
      </c>
      <c r="F37" s="19">
        <v>22</v>
      </c>
      <c r="G37" s="10">
        <v>6</v>
      </c>
      <c r="H37" s="138" t="s">
        <v>269</v>
      </c>
      <c r="I37" s="12">
        <v>0.5</v>
      </c>
      <c r="J37" s="272">
        <v>86053</v>
      </c>
      <c r="K37" s="14">
        <f>J37*I37</f>
        <v>43026.5</v>
      </c>
      <c r="L37" s="186" t="s">
        <v>342</v>
      </c>
      <c r="M37" s="140" t="s">
        <v>78</v>
      </c>
      <c r="N37" s="16">
        <f t="shared" si="1"/>
        <v>43026.5</v>
      </c>
      <c r="O37" s="140"/>
      <c r="P37" s="329"/>
    </row>
    <row r="38" spans="1:17" ht="18" customHeight="1" x14ac:dyDescent="0.25">
      <c r="A38" s="137" t="s">
        <v>114</v>
      </c>
      <c r="B38" s="8" t="s">
        <v>142</v>
      </c>
      <c r="C38" s="9">
        <v>23</v>
      </c>
      <c r="D38" s="10">
        <v>6</v>
      </c>
      <c r="E38" s="138" t="s">
        <v>336</v>
      </c>
      <c r="F38" s="9">
        <v>23</v>
      </c>
      <c r="G38" s="10">
        <v>6</v>
      </c>
      <c r="H38" s="138" t="s">
        <v>71</v>
      </c>
      <c r="I38" s="12">
        <v>1</v>
      </c>
      <c r="J38" s="272">
        <v>86053</v>
      </c>
      <c r="K38" s="14">
        <f t="shared" ref="K38:K54" si="2">J38*I38</f>
        <v>86053</v>
      </c>
      <c r="L38" s="185" t="s">
        <v>125</v>
      </c>
      <c r="M38" s="140"/>
      <c r="N38" s="16"/>
      <c r="O38" s="21"/>
      <c r="P38" s="17"/>
    </row>
    <row r="39" spans="1:17" ht="18" customHeight="1" x14ac:dyDescent="0.25">
      <c r="A39" s="137" t="s">
        <v>54</v>
      </c>
      <c r="B39" s="8" t="s">
        <v>371</v>
      </c>
      <c r="C39" s="9">
        <v>23</v>
      </c>
      <c r="D39" s="10">
        <v>6</v>
      </c>
      <c r="E39" s="138" t="s">
        <v>325</v>
      </c>
      <c r="F39" s="19">
        <v>23</v>
      </c>
      <c r="G39" s="10">
        <v>6</v>
      </c>
      <c r="H39" s="138" t="s">
        <v>286</v>
      </c>
      <c r="I39" s="12">
        <v>0.5</v>
      </c>
      <c r="J39" s="272">
        <v>86053</v>
      </c>
      <c r="K39" s="14">
        <f t="shared" si="2"/>
        <v>43026.5</v>
      </c>
      <c r="L39" s="185" t="s">
        <v>216</v>
      </c>
      <c r="M39" s="140" t="s">
        <v>415</v>
      </c>
      <c r="N39" s="16">
        <f>K39</f>
        <v>43026.5</v>
      </c>
      <c r="O39" s="21"/>
      <c r="P39" s="17"/>
    </row>
    <row r="40" spans="1:17" s="228" customFormat="1" ht="18" customHeight="1" x14ac:dyDescent="0.25">
      <c r="A40" s="137" t="s">
        <v>54</v>
      </c>
      <c r="B40" s="8" t="s">
        <v>372</v>
      </c>
      <c r="C40" s="9">
        <v>23</v>
      </c>
      <c r="D40" s="10">
        <v>6</v>
      </c>
      <c r="E40" s="138" t="s">
        <v>213</v>
      </c>
      <c r="F40" s="19">
        <v>23</v>
      </c>
      <c r="G40" s="10">
        <v>6</v>
      </c>
      <c r="H40" s="138" t="s">
        <v>289</v>
      </c>
      <c r="I40" s="12">
        <v>0.5</v>
      </c>
      <c r="J40" s="272">
        <v>86053</v>
      </c>
      <c r="K40" s="14">
        <f t="shared" si="2"/>
        <v>43026.5</v>
      </c>
      <c r="L40" s="185" t="s">
        <v>362</v>
      </c>
      <c r="M40" s="140" t="s">
        <v>184</v>
      </c>
      <c r="N40" s="16">
        <f>K40</f>
        <v>43026.5</v>
      </c>
      <c r="O40" s="21"/>
      <c r="P40" s="329"/>
    </row>
    <row r="41" spans="1:17" ht="18" customHeight="1" x14ac:dyDescent="0.25">
      <c r="A41" s="137" t="s">
        <v>54</v>
      </c>
      <c r="B41" s="8" t="s">
        <v>373</v>
      </c>
      <c r="C41" s="9">
        <v>24</v>
      </c>
      <c r="D41" s="10">
        <v>6</v>
      </c>
      <c r="E41" s="138" t="s">
        <v>279</v>
      </c>
      <c r="F41" s="19">
        <v>25</v>
      </c>
      <c r="G41" s="10">
        <v>6</v>
      </c>
      <c r="H41" s="138" t="s">
        <v>374</v>
      </c>
      <c r="I41" s="12">
        <v>0.5</v>
      </c>
      <c r="J41" s="272">
        <v>86053</v>
      </c>
      <c r="K41" s="14">
        <f t="shared" si="2"/>
        <v>43026.5</v>
      </c>
      <c r="L41" s="185" t="s">
        <v>129</v>
      </c>
      <c r="M41" s="140" t="s">
        <v>78</v>
      </c>
      <c r="N41" s="16">
        <f>K41</f>
        <v>43026.5</v>
      </c>
      <c r="O41" s="21"/>
      <c r="P41" s="329"/>
    </row>
    <row r="42" spans="1:17" ht="18" customHeight="1" x14ac:dyDescent="0.25">
      <c r="A42" s="137" t="s">
        <v>114</v>
      </c>
      <c r="B42" s="8" t="s">
        <v>375</v>
      </c>
      <c r="C42" s="9">
        <v>24</v>
      </c>
      <c r="D42" s="10">
        <v>6</v>
      </c>
      <c r="E42" s="138" t="s">
        <v>325</v>
      </c>
      <c r="F42" s="24">
        <v>24</v>
      </c>
      <c r="G42" s="10">
        <v>6</v>
      </c>
      <c r="H42" s="138" t="s">
        <v>75</v>
      </c>
      <c r="I42" s="12">
        <v>0.5</v>
      </c>
      <c r="J42" s="272">
        <v>86053</v>
      </c>
      <c r="K42" s="14">
        <f t="shared" si="2"/>
        <v>43026.5</v>
      </c>
      <c r="L42" s="185" t="s">
        <v>216</v>
      </c>
      <c r="M42" s="140"/>
      <c r="N42" s="16"/>
      <c r="O42" s="21"/>
      <c r="P42" s="242"/>
    </row>
    <row r="43" spans="1:17" ht="18" customHeight="1" x14ac:dyDescent="0.25">
      <c r="A43" s="137" t="s">
        <v>209</v>
      </c>
      <c r="B43" s="8" t="s">
        <v>376</v>
      </c>
      <c r="C43" s="9">
        <v>24</v>
      </c>
      <c r="D43" s="10">
        <v>6</v>
      </c>
      <c r="E43" s="138" t="s">
        <v>187</v>
      </c>
      <c r="F43" s="9">
        <v>24</v>
      </c>
      <c r="G43" s="10">
        <v>6</v>
      </c>
      <c r="H43" s="138" t="s">
        <v>204</v>
      </c>
      <c r="I43" s="12">
        <v>0.5</v>
      </c>
      <c r="J43" s="272">
        <v>86053</v>
      </c>
      <c r="K43" s="14">
        <f t="shared" si="2"/>
        <v>43026.5</v>
      </c>
      <c r="L43" s="185" t="s">
        <v>129</v>
      </c>
      <c r="M43" s="140" t="s">
        <v>78</v>
      </c>
      <c r="N43" s="16">
        <f t="shared" ref="N43:N52" si="3">K43</f>
        <v>43026.5</v>
      </c>
      <c r="O43" s="21"/>
      <c r="P43" s="242"/>
    </row>
    <row r="44" spans="1:17" s="228" customFormat="1" ht="18" customHeight="1" x14ac:dyDescent="0.25">
      <c r="A44" s="137" t="s">
        <v>54</v>
      </c>
      <c r="B44" s="8" t="s">
        <v>377</v>
      </c>
      <c r="C44" s="9">
        <v>25</v>
      </c>
      <c r="D44" s="10">
        <v>6</v>
      </c>
      <c r="E44" s="138" t="s">
        <v>320</v>
      </c>
      <c r="F44" s="19">
        <v>25</v>
      </c>
      <c r="G44" s="10">
        <v>6</v>
      </c>
      <c r="H44" s="138" t="s">
        <v>213</v>
      </c>
      <c r="I44" s="12">
        <v>0.5</v>
      </c>
      <c r="J44" s="272">
        <v>86053</v>
      </c>
      <c r="K44" s="14">
        <f t="shared" si="2"/>
        <v>43026.5</v>
      </c>
      <c r="L44" s="185" t="s">
        <v>362</v>
      </c>
      <c r="M44" s="140" t="s">
        <v>378</v>
      </c>
      <c r="N44" s="16">
        <f t="shared" si="3"/>
        <v>43026.5</v>
      </c>
      <c r="O44" s="21" t="s">
        <v>379</v>
      </c>
      <c r="P44" s="16">
        <f>J44/2</f>
        <v>43026.5</v>
      </c>
    </row>
    <row r="45" spans="1:17" s="228" customFormat="1" ht="18" customHeight="1" x14ac:dyDescent="0.25">
      <c r="A45" s="137" t="s">
        <v>54</v>
      </c>
      <c r="B45" s="8" t="s">
        <v>381</v>
      </c>
      <c r="C45" s="9">
        <v>25</v>
      </c>
      <c r="D45" s="10">
        <v>6</v>
      </c>
      <c r="E45" s="138" t="s">
        <v>382</v>
      </c>
      <c r="F45" s="19">
        <v>25</v>
      </c>
      <c r="G45" s="10">
        <v>6</v>
      </c>
      <c r="H45" s="138" t="s">
        <v>204</v>
      </c>
      <c r="I45" s="12">
        <v>0.5</v>
      </c>
      <c r="J45" s="272">
        <v>86053</v>
      </c>
      <c r="K45" s="14">
        <f>J45*I45</f>
        <v>43026.5</v>
      </c>
      <c r="L45" s="185" t="s">
        <v>129</v>
      </c>
      <c r="M45" s="140" t="s">
        <v>78</v>
      </c>
      <c r="N45" s="16">
        <f t="shared" si="3"/>
        <v>43026.5</v>
      </c>
      <c r="O45" s="21" t="s">
        <v>252</v>
      </c>
      <c r="P45" s="16">
        <f>J45/2</f>
        <v>43026.5</v>
      </c>
    </row>
    <row r="46" spans="1:17" s="228" customFormat="1" ht="18" customHeight="1" x14ac:dyDescent="0.25">
      <c r="A46" s="137" t="s">
        <v>114</v>
      </c>
      <c r="B46" s="8" t="s">
        <v>380</v>
      </c>
      <c r="C46" s="9">
        <v>26</v>
      </c>
      <c r="D46" s="10">
        <v>6</v>
      </c>
      <c r="E46" s="138" t="s">
        <v>245</v>
      </c>
      <c r="F46" s="19">
        <v>26</v>
      </c>
      <c r="G46" s="10">
        <v>6</v>
      </c>
      <c r="H46" s="138" t="s">
        <v>185</v>
      </c>
      <c r="I46" s="12">
        <v>0.5</v>
      </c>
      <c r="J46" s="272">
        <v>86053</v>
      </c>
      <c r="K46" s="14">
        <f t="shared" si="2"/>
        <v>43026.5</v>
      </c>
      <c r="L46" s="185" t="s">
        <v>362</v>
      </c>
      <c r="M46" s="140" t="s">
        <v>415</v>
      </c>
      <c r="N46" s="16">
        <f t="shared" si="3"/>
        <v>43026.5</v>
      </c>
      <c r="O46" s="21"/>
      <c r="P46" s="242"/>
    </row>
    <row r="47" spans="1:17" s="228" customFormat="1" ht="18" customHeight="1" x14ac:dyDescent="0.25">
      <c r="A47" s="371" t="s">
        <v>54</v>
      </c>
      <c r="B47" s="366" t="s">
        <v>383</v>
      </c>
      <c r="C47" s="367">
        <v>26</v>
      </c>
      <c r="D47" s="368">
        <v>6</v>
      </c>
      <c r="E47" s="138" t="s">
        <v>384</v>
      </c>
      <c r="F47" s="367">
        <v>26</v>
      </c>
      <c r="G47" s="368">
        <v>6</v>
      </c>
      <c r="H47" s="138" t="s">
        <v>385</v>
      </c>
      <c r="I47" s="12">
        <v>0.5</v>
      </c>
      <c r="J47" s="272">
        <v>86053</v>
      </c>
      <c r="K47" s="14">
        <f t="shared" si="2"/>
        <v>43026.5</v>
      </c>
      <c r="L47" s="370" t="s">
        <v>216</v>
      </c>
      <c r="M47" s="140" t="s">
        <v>415</v>
      </c>
      <c r="N47" s="16">
        <f t="shared" si="3"/>
        <v>43026.5</v>
      </c>
      <c r="O47" s="228" t="s">
        <v>386</v>
      </c>
      <c r="P47" s="16">
        <f>J47/2</f>
        <v>43026.5</v>
      </c>
    </row>
    <row r="48" spans="1:17" s="228" customFormat="1" ht="18" customHeight="1" x14ac:dyDescent="0.25">
      <c r="A48" s="137" t="s">
        <v>54</v>
      </c>
      <c r="B48" s="8" t="s">
        <v>387</v>
      </c>
      <c r="C48" s="9">
        <v>26</v>
      </c>
      <c r="D48" s="10">
        <v>6</v>
      </c>
      <c r="E48" s="138" t="s">
        <v>388</v>
      </c>
      <c r="F48" s="19">
        <v>26</v>
      </c>
      <c r="G48" s="10">
        <v>6</v>
      </c>
      <c r="H48" s="138" t="s">
        <v>389</v>
      </c>
      <c r="I48" s="12">
        <v>0.5</v>
      </c>
      <c r="J48" s="272">
        <v>86053</v>
      </c>
      <c r="K48" s="14">
        <f t="shared" si="2"/>
        <v>43026.5</v>
      </c>
      <c r="L48" s="185" t="s">
        <v>129</v>
      </c>
      <c r="M48" s="140" t="s">
        <v>366</v>
      </c>
      <c r="N48" s="16">
        <f t="shared" si="3"/>
        <v>43026.5</v>
      </c>
      <c r="O48" s="21"/>
      <c r="P48" s="289"/>
    </row>
    <row r="49" spans="1:16" s="228" customFormat="1" ht="18" customHeight="1" x14ac:dyDescent="0.25">
      <c r="A49" s="137" t="s">
        <v>54</v>
      </c>
      <c r="B49" s="8" t="s">
        <v>390</v>
      </c>
      <c r="C49" s="9">
        <v>27</v>
      </c>
      <c r="D49" s="10">
        <v>6</v>
      </c>
      <c r="E49" s="138" t="s">
        <v>391</v>
      </c>
      <c r="F49" s="19">
        <v>27</v>
      </c>
      <c r="G49" s="10">
        <v>6</v>
      </c>
      <c r="H49" s="138" t="s">
        <v>276</v>
      </c>
      <c r="I49" s="12">
        <v>0.5</v>
      </c>
      <c r="J49" s="272">
        <v>86053</v>
      </c>
      <c r="K49" s="14">
        <f t="shared" si="2"/>
        <v>43026.5</v>
      </c>
      <c r="L49" s="185" t="s">
        <v>125</v>
      </c>
      <c r="M49" s="140" t="s">
        <v>184</v>
      </c>
      <c r="N49" s="16">
        <f t="shared" si="3"/>
        <v>43026.5</v>
      </c>
      <c r="O49" s="21"/>
      <c r="P49" s="289"/>
    </row>
    <row r="50" spans="1:16" ht="18" customHeight="1" x14ac:dyDescent="0.25">
      <c r="A50" s="137" t="s">
        <v>54</v>
      </c>
      <c r="B50" s="8" t="s">
        <v>380</v>
      </c>
      <c r="C50" s="9">
        <v>29</v>
      </c>
      <c r="D50" s="10">
        <v>6</v>
      </c>
      <c r="E50" s="138" t="s">
        <v>361</v>
      </c>
      <c r="F50" s="351">
        <v>29</v>
      </c>
      <c r="G50" s="10">
        <v>6</v>
      </c>
      <c r="H50" s="138" t="s">
        <v>213</v>
      </c>
      <c r="I50" s="12">
        <v>0.5</v>
      </c>
      <c r="J50" s="272">
        <v>86053</v>
      </c>
      <c r="K50" s="14">
        <f t="shared" si="2"/>
        <v>43026.5</v>
      </c>
      <c r="L50" s="185" t="s">
        <v>129</v>
      </c>
      <c r="M50" s="140" t="s">
        <v>184</v>
      </c>
      <c r="N50" s="16">
        <f t="shared" si="3"/>
        <v>43026.5</v>
      </c>
      <c r="O50" s="21"/>
      <c r="P50" s="242"/>
    </row>
    <row r="51" spans="1:16" s="228" customFormat="1" ht="18" customHeight="1" x14ac:dyDescent="0.25">
      <c r="A51" s="137" t="s">
        <v>54</v>
      </c>
      <c r="B51" s="8" t="s">
        <v>392</v>
      </c>
      <c r="C51" s="9">
        <v>29</v>
      </c>
      <c r="D51" s="10">
        <v>6</v>
      </c>
      <c r="E51" s="138" t="s">
        <v>391</v>
      </c>
      <c r="F51" s="19">
        <v>29</v>
      </c>
      <c r="G51" s="10">
        <v>6</v>
      </c>
      <c r="H51" s="138" t="s">
        <v>276</v>
      </c>
      <c r="I51" s="12">
        <v>0.5</v>
      </c>
      <c r="J51" s="272">
        <v>86053</v>
      </c>
      <c r="K51" s="14">
        <f t="shared" si="2"/>
        <v>43026.5</v>
      </c>
      <c r="L51" s="185" t="s">
        <v>125</v>
      </c>
      <c r="M51" s="140" t="s">
        <v>415</v>
      </c>
      <c r="N51" s="16">
        <f t="shared" si="3"/>
        <v>43026.5</v>
      </c>
      <c r="O51" s="21"/>
      <c r="P51" s="329"/>
    </row>
    <row r="52" spans="1:16" s="228" customFormat="1" ht="18" customHeight="1" x14ac:dyDescent="0.25">
      <c r="A52" s="137" t="s">
        <v>114</v>
      </c>
      <c r="B52" s="8" t="s">
        <v>393</v>
      </c>
      <c r="C52" s="9">
        <v>30</v>
      </c>
      <c r="D52" s="10">
        <v>6</v>
      </c>
      <c r="E52" s="138" t="s">
        <v>245</v>
      </c>
      <c r="F52" s="19">
        <v>30</v>
      </c>
      <c r="G52" s="10">
        <v>6</v>
      </c>
      <c r="H52" s="138" t="s">
        <v>86</v>
      </c>
      <c r="I52" s="12">
        <v>0.5</v>
      </c>
      <c r="J52" s="272">
        <v>86053</v>
      </c>
      <c r="K52" s="14">
        <f t="shared" si="2"/>
        <v>43026.5</v>
      </c>
      <c r="L52" s="185" t="s">
        <v>129</v>
      </c>
      <c r="M52" s="140" t="s">
        <v>378</v>
      </c>
      <c r="N52" s="16">
        <f t="shared" si="3"/>
        <v>43026.5</v>
      </c>
      <c r="O52" s="21"/>
      <c r="P52" s="329"/>
    </row>
    <row r="53" spans="1:16" s="228" customFormat="1" ht="18" customHeight="1" x14ac:dyDescent="0.25">
      <c r="A53" s="137" t="s">
        <v>114</v>
      </c>
      <c r="B53" s="8" t="s">
        <v>142</v>
      </c>
      <c r="C53" s="9">
        <v>30</v>
      </c>
      <c r="D53" s="10">
        <v>6</v>
      </c>
      <c r="E53" s="138" t="s">
        <v>315</v>
      </c>
      <c r="F53" s="19">
        <v>30</v>
      </c>
      <c r="G53" s="10">
        <v>6</v>
      </c>
      <c r="H53" s="138" t="s">
        <v>212</v>
      </c>
      <c r="I53" s="12">
        <v>1</v>
      </c>
      <c r="J53" s="272">
        <v>86053</v>
      </c>
      <c r="K53" s="14">
        <f t="shared" si="2"/>
        <v>86053</v>
      </c>
      <c r="L53" s="185" t="s">
        <v>216</v>
      </c>
      <c r="M53" s="140"/>
      <c r="N53" s="16"/>
      <c r="O53" s="21"/>
      <c r="P53" s="242"/>
    </row>
    <row r="54" spans="1:16" s="228" customFormat="1" ht="18" customHeight="1" x14ac:dyDescent="0.25">
      <c r="A54" s="137" t="s">
        <v>54</v>
      </c>
      <c r="B54" s="8" t="s">
        <v>394</v>
      </c>
      <c r="C54" s="9">
        <v>30</v>
      </c>
      <c r="D54" s="10">
        <v>6</v>
      </c>
      <c r="E54" s="138" t="s">
        <v>395</v>
      </c>
      <c r="F54" s="19">
        <v>30</v>
      </c>
      <c r="G54" s="10">
        <v>6</v>
      </c>
      <c r="H54" s="138" t="s">
        <v>246</v>
      </c>
      <c r="I54" s="12">
        <v>0.5</v>
      </c>
      <c r="J54" s="272">
        <v>86053</v>
      </c>
      <c r="K54" s="14">
        <f t="shared" si="2"/>
        <v>43026.5</v>
      </c>
      <c r="L54" s="185" t="s">
        <v>125</v>
      </c>
      <c r="M54" s="140" t="s">
        <v>184</v>
      </c>
      <c r="N54" s="16">
        <f>K54</f>
        <v>43026.5</v>
      </c>
      <c r="O54" s="16" t="s">
        <v>396</v>
      </c>
      <c r="P54" s="16">
        <f>J54/2</f>
        <v>43026.5</v>
      </c>
    </row>
    <row r="55" spans="1:16" ht="18" customHeight="1" x14ac:dyDescent="0.25">
      <c r="A55" s="137"/>
      <c r="B55" s="8"/>
      <c r="C55" s="9"/>
      <c r="D55" s="10"/>
      <c r="E55" s="138"/>
      <c r="F55" s="9"/>
      <c r="G55" s="10"/>
      <c r="H55" s="138"/>
      <c r="I55" s="12"/>
      <c r="J55" s="272"/>
      <c r="K55" s="14"/>
      <c r="L55" s="185"/>
      <c r="M55" s="140"/>
      <c r="N55" s="16"/>
      <c r="O55" s="21"/>
      <c r="P55" s="242"/>
    </row>
    <row r="56" spans="1:16" s="228" customFormat="1" ht="18" customHeight="1" x14ac:dyDescent="0.25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21"/>
      <c r="P56" s="242"/>
    </row>
    <row r="57" spans="1:16" s="228" customFormat="1" ht="18" customHeight="1" x14ac:dyDescent="0.25">
      <c r="A57" s="137"/>
      <c r="B57" s="8"/>
      <c r="C57" s="9"/>
      <c r="D57" s="10"/>
      <c r="E57" s="138"/>
      <c r="F57" s="19"/>
      <c r="G57" s="10"/>
      <c r="H57" s="138"/>
      <c r="I57" s="12"/>
      <c r="J57" s="272"/>
      <c r="K57" s="14"/>
      <c r="L57" s="185"/>
      <c r="M57" s="140"/>
      <c r="N57" s="16"/>
      <c r="O57" s="21"/>
      <c r="P57" s="242"/>
    </row>
    <row r="58" spans="1:16" ht="18" customHeight="1" x14ac:dyDescent="0.25">
      <c r="A58" s="137"/>
      <c r="B58" s="8"/>
      <c r="C58" s="9"/>
      <c r="D58" s="10"/>
      <c r="E58" s="138"/>
      <c r="F58" s="19"/>
      <c r="G58" s="10"/>
      <c r="H58" s="138"/>
      <c r="I58" s="12"/>
      <c r="J58" s="272"/>
      <c r="K58" s="14"/>
      <c r="L58" s="185"/>
      <c r="M58" s="140"/>
      <c r="N58" s="16"/>
      <c r="O58" s="21"/>
      <c r="P58" s="17"/>
    </row>
    <row r="59" spans="1:16" ht="18" customHeight="1" x14ac:dyDescent="0.25">
      <c r="A59" s="137"/>
      <c r="B59" s="8"/>
      <c r="C59" s="9"/>
      <c r="D59" s="10"/>
      <c r="E59" s="138"/>
      <c r="F59" s="19"/>
      <c r="G59" s="10"/>
      <c r="H59" s="138"/>
      <c r="I59" s="12"/>
      <c r="J59" s="272"/>
      <c r="K59" s="14"/>
      <c r="L59" s="185"/>
      <c r="M59" s="140"/>
      <c r="N59" s="16"/>
      <c r="O59" s="21"/>
      <c r="P59" s="17"/>
    </row>
    <row r="60" spans="1:16" ht="18" customHeight="1" x14ac:dyDescent="0.25">
      <c r="A60" s="137"/>
      <c r="B60" s="8"/>
      <c r="C60" s="9"/>
      <c r="D60" s="10"/>
      <c r="E60" s="138"/>
      <c r="F60" s="9"/>
      <c r="G60" s="10"/>
      <c r="H60" s="138"/>
      <c r="I60" s="12"/>
      <c r="J60" s="272"/>
      <c r="K60" s="14"/>
      <c r="L60" s="185"/>
      <c r="M60" s="140"/>
      <c r="N60" s="16"/>
      <c r="O60" s="21"/>
      <c r="P60" s="17"/>
    </row>
    <row r="61" spans="1:16" x14ac:dyDescent="0.25">
      <c r="A61" s="137"/>
      <c r="B61" s="8"/>
      <c r="C61" s="230"/>
      <c r="D61" s="10"/>
      <c r="E61" s="138"/>
      <c r="F61" s="19"/>
      <c r="G61" s="10"/>
      <c r="H61" s="138"/>
      <c r="I61" s="12"/>
      <c r="J61" s="272"/>
      <c r="K61" s="14"/>
      <c r="L61" s="185"/>
      <c r="M61" s="140"/>
      <c r="N61" s="16"/>
      <c r="O61" s="21"/>
      <c r="P61" s="17"/>
    </row>
    <row r="62" spans="1:16" x14ac:dyDescent="0.25">
      <c r="A62" s="137"/>
      <c r="B62" s="8"/>
      <c r="C62" s="9"/>
      <c r="D62" s="10"/>
      <c r="E62" s="138"/>
      <c r="F62" s="19"/>
      <c r="G62" s="10"/>
      <c r="H62" s="138"/>
      <c r="I62" s="12"/>
      <c r="J62" s="272"/>
      <c r="K62" s="14"/>
      <c r="L62" s="185"/>
      <c r="M62" s="140"/>
      <c r="N62" s="16"/>
      <c r="O62" s="21"/>
      <c r="P62" s="17"/>
    </row>
    <row r="63" spans="1:16" s="228" customFormat="1" x14ac:dyDescent="0.25">
      <c r="A63" s="137"/>
      <c r="B63" s="8"/>
      <c r="C63" s="9"/>
      <c r="D63" s="10"/>
      <c r="E63" s="138"/>
      <c r="F63" s="19"/>
      <c r="G63" s="10"/>
      <c r="H63" s="138"/>
      <c r="I63" s="12"/>
      <c r="J63" s="272"/>
      <c r="K63" s="14"/>
      <c r="L63" s="185"/>
      <c r="M63" s="140"/>
      <c r="N63" s="16"/>
      <c r="O63" s="21"/>
      <c r="P63" s="289"/>
    </row>
    <row r="64" spans="1:16" x14ac:dyDescent="0.25">
      <c r="A64" s="137"/>
      <c r="B64" s="8"/>
      <c r="C64" s="9"/>
      <c r="D64" s="10"/>
      <c r="E64" s="138"/>
      <c r="F64" s="19"/>
      <c r="G64" s="10"/>
      <c r="H64" s="138"/>
      <c r="I64" s="12"/>
      <c r="J64" s="272"/>
      <c r="K64" s="14"/>
      <c r="L64" s="185"/>
      <c r="M64" s="140"/>
      <c r="N64" s="16"/>
      <c r="O64" s="21"/>
      <c r="P64" s="242"/>
    </row>
    <row r="65" spans="1:17" x14ac:dyDescent="0.25">
      <c r="A65" s="137"/>
      <c r="B65" s="8"/>
      <c r="C65" s="9"/>
      <c r="D65" s="10"/>
      <c r="E65" s="138"/>
      <c r="F65" s="19"/>
      <c r="G65" s="10"/>
      <c r="H65" s="138"/>
      <c r="I65" s="12"/>
      <c r="J65" s="272"/>
      <c r="K65" s="14"/>
      <c r="L65" s="185"/>
      <c r="M65" s="140"/>
      <c r="N65" s="16"/>
      <c r="O65" s="21"/>
      <c r="P65" s="17"/>
    </row>
    <row r="66" spans="1:17" x14ac:dyDescent="0.25">
      <c r="A66" s="137"/>
      <c r="B66" s="8"/>
      <c r="C66" s="9"/>
      <c r="D66" s="10"/>
      <c r="E66" s="138"/>
      <c r="F66" s="19"/>
      <c r="G66" s="10"/>
      <c r="H66" s="138"/>
      <c r="I66" s="12"/>
      <c r="J66" s="272"/>
      <c r="K66" s="14"/>
      <c r="L66" s="185"/>
      <c r="M66" s="140"/>
      <c r="N66" s="16"/>
      <c r="O66" s="21"/>
      <c r="P66" s="17"/>
    </row>
    <row r="67" spans="1:17" x14ac:dyDescent="0.25">
      <c r="A67" s="137"/>
      <c r="B67" s="8"/>
      <c r="C67" s="9"/>
      <c r="D67" s="10"/>
      <c r="E67" s="138"/>
      <c r="F67" s="19"/>
      <c r="G67" s="10"/>
      <c r="H67" s="138"/>
      <c r="I67" s="12"/>
      <c r="J67" s="272"/>
      <c r="K67" s="14"/>
      <c r="L67" s="185"/>
      <c r="M67" s="140"/>
      <c r="N67" s="16"/>
      <c r="O67" s="21"/>
      <c r="P67" s="17"/>
    </row>
    <row r="68" spans="1:17" x14ac:dyDescent="0.25">
      <c r="A68" s="137"/>
      <c r="B68" s="8"/>
      <c r="C68" s="9"/>
      <c r="D68" s="10"/>
      <c r="E68" s="138"/>
      <c r="F68" s="19"/>
      <c r="G68" s="10"/>
      <c r="H68" s="138"/>
      <c r="I68" s="12"/>
      <c r="J68" s="272"/>
      <c r="K68" s="14"/>
      <c r="L68" s="185"/>
      <c r="M68" s="140"/>
      <c r="N68" s="16"/>
      <c r="O68" s="21"/>
      <c r="P68" s="17"/>
    </row>
    <row r="69" spans="1:17" x14ac:dyDescent="0.25">
      <c r="A69" s="137"/>
      <c r="B69" s="8"/>
      <c r="C69" s="9"/>
      <c r="D69" s="10"/>
      <c r="E69" s="138"/>
      <c r="F69" s="19"/>
      <c r="G69" s="10"/>
      <c r="H69" s="138"/>
      <c r="I69" s="12"/>
      <c r="J69" s="272"/>
      <c r="K69" s="14"/>
      <c r="L69" s="185"/>
      <c r="M69" s="140"/>
      <c r="N69" s="16"/>
      <c r="O69" s="21"/>
      <c r="P69" s="17"/>
    </row>
    <row r="70" spans="1:17" x14ac:dyDescent="0.25">
      <c r="A70" s="137"/>
      <c r="B70" s="8"/>
      <c r="C70" s="9"/>
      <c r="D70" s="10"/>
      <c r="E70" s="138"/>
      <c r="F70" s="19"/>
      <c r="G70" s="10"/>
      <c r="H70" s="138"/>
      <c r="I70" s="12"/>
      <c r="J70" s="272"/>
      <c r="K70" s="14"/>
      <c r="L70" s="185"/>
      <c r="M70" s="140"/>
      <c r="N70" s="16"/>
      <c r="O70" s="21"/>
      <c r="P70" s="17"/>
    </row>
    <row r="71" spans="1:17" x14ac:dyDescent="0.25">
      <c r="A71" s="137"/>
      <c r="B71" s="8"/>
      <c r="C71" s="9"/>
      <c r="D71" s="10"/>
      <c r="E71" s="138"/>
      <c r="F71" s="19"/>
      <c r="G71" s="10"/>
      <c r="H71" s="138"/>
      <c r="I71" s="12"/>
      <c r="J71" s="272"/>
      <c r="K71" s="14"/>
      <c r="L71" s="185"/>
      <c r="M71" s="140"/>
      <c r="N71" s="16"/>
      <c r="O71" s="21"/>
      <c r="P71" s="17"/>
    </row>
    <row r="72" spans="1:17" x14ac:dyDescent="0.25">
      <c r="A72" s="137"/>
      <c r="B72" s="8"/>
      <c r="C72" s="9"/>
      <c r="D72" s="10"/>
      <c r="E72" s="138"/>
      <c r="F72" s="19"/>
      <c r="G72" s="10"/>
      <c r="H72" s="138"/>
      <c r="I72" s="12"/>
      <c r="J72" s="272"/>
      <c r="K72" s="14"/>
      <c r="L72" s="185"/>
      <c r="M72" s="140"/>
      <c r="N72" s="16"/>
      <c r="O72" s="21"/>
      <c r="P72" s="242"/>
    </row>
    <row r="73" spans="1:17" x14ac:dyDescent="0.25">
      <c r="A73" s="137"/>
      <c r="B73" s="8"/>
      <c r="C73" s="9"/>
      <c r="D73" s="10"/>
      <c r="E73" s="138"/>
      <c r="F73" s="19"/>
      <c r="G73" s="10"/>
      <c r="H73" s="138"/>
      <c r="I73" s="12"/>
      <c r="J73" s="272"/>
      <c r="K73" s="14"/>
      <c r="L73" s="185"/>
      <c r="M73" s="140"/>
      <c r="N73" s="16"/>
      <c r="O73" s="21"/>
      <c r="P73" s="17"/>
    </row>
    <row r="74" spans="1:17" x14ac:dyDescent="0.25">
      <c r="A74" s="137"/>
      <c r="B74" s="8"/>
      <c r="C74" s="9"/>
      <c r="D74" s="10"/>
      <c r="E74" s="138"/>
      <c r="F74" s="19"/>
      <c r="G74" s="10"/>
      <c r="H74" s="138"/>
      <c r="I74" s="12"/>
      <c r="J74" s="272"/>
      <c r="K74" s="14"/>
      <c r="L74" s="185"/>
      <c r="M74" s="140"/>
      <c r="N74" s="16"/>
      <c r="O74" s="21"/>
      <c r="P74" s="17"/>
    </row>
    <row r="75" spans="1:17" x14ac:dyDescent="0.25">
      <c r="A75" s="137"/>
      <c r="B75" s="8"/>
      <c r="C75" s="9"/>
      <c r="D75" s="10"/>
      <c r="E75" s="138"/>
      <c r="F75" s="19"/>
      <c r="G75" s="10"/>
      <c r="H75" s="138"/>
      <c r="I75" s="138"/>
      <c r="J75" s="272"/>
      <c r="K75" s="138"/>
      <c r="L75" s="138"/>
      <c r="M75" s="138"/>
      <c r="N75" s="138"/>
      <c r="O75" s="138"/>
      <c r="P75" s="17"/>
    </row>
    <row r="76" spans="1:17" x14ac:dyDescent="0.25">
      <c r="A76" s="137"/>
      <c r="B76" s="8"/>
      <c r="C76" s="9"/>
      <c r="D76" s="10"/>
      <c r="E76" s="138"/>
      <c r="F76" s="19"/>
      <c r="G76" s="10"/>
      <c r="H76" s="138"/>
      <c r="I76" s="12"/>
      <c r="J76" s="13"/>
      <c r="K76" s="14"/>
      <c r="L76" s="185"/>
      <c r="M76" s="140"/>
      <c r="N76" s="16"/>
      <c r="O76" s="21"/>
      <c r="P76" s="17"/>
    </row>
    <row r="77" spans="1:17" x14ac:dyDescent="0.25">
      <c r="B77" s="33"/>
      <c r="C77" s="34"/>
      <c r="D77" s="33"/>
      <c r="E77" s="34"/>
      <c r="F77" s="34"/>
      <c r="G77" s="34"/>
      <c r="H77" s="34"/>
      <c r="I77" s="31"/>
      <c r="J77" s="32"/>
      <c r="K77" s="38">
        <f>SUM(K4:K76)</f>
        <v>2366457.5</v>
      </c>
      <c r="L77" s="36"/>
      <c r="M77" s="35"/>
      <c r="N77" s="38">
        <f>SUM(N4:N76)</f>
        <v>1763243</v>
      </c>
      <c r="O77" s="35"/>
      <c r="P77" s="178">
        <f>SUM(P4:P76)</f>
        <v>301185.5</v>
      </c>
    </row>
    <row r="78" spans="1:17" x14ac:dyDescent="0.25">
      <c r="B78" s="33"/>
      <c r="C78" s="34"/>
      <c r="D78" s="33"/>
      <c r="E78" s="34"/>
      <c r="F78" s="34"/>
      <c r="G78" s="34"/>
      <c r="H78" s="34"/>
      <c r="I78" s="31"/>
      <c r="J78" s="32"/>
      <c r="K78" s="37">
        <f>K77+N77+P77</f>
        <v>4430886</v>
      </c>
      <c r="L78" s="168">
        <f>K78-DETALLE!F29</f>
        <v>86037</v>
      </c>
      <c r="M78" s="35"/>
      <c r="N78" s="35"/>
      <c r="O78" s="35"/>
      <c r="P78" s="35"/>
    </row>
    <row r="79" spans="1:17" x14ac:dyDescent="0.25">
      <c r="B79" s="144" t="s">
        <v>116</v>
      </c>
      <c r="C79" s="143"/>
      <c r="D79" s="33"/>
      <c r="E79" s="34"/>
      <c r="F79" s="34"/>
      <c r="G79" s="34"/>
      <c r="H79" s="34"/>
      <c r="I79" s="31"/>
      <c r="J79" s="32"/>
      <c r="K79" s="35"/>
      <c r="L79" s="36"/>
      <c r="M79" s="38"/>
      <c r="N79" s="35"/>
      <c r="O79" s="35"/>
      <c r="P79" s="35"/>
      <c r="Q79" t="s">
        <v>130</v>
      </c>
    </row>
    <row r="80" spans="1:17" x14ac:dyDescent="0.25">
      <c r="B80" s="144" t="s">
        <v>117</v>
      </c>
      <c r="C80" s="143"/>
      <c r="D80" s="33"/>
      <c r="E80" s="34"/>
      <c r="F80" s="34"/>
      <c r="G80" s="34"/>
      <c r="H80" s="34"/>
      <c r="I80" s="34"/>
      <c r="J80" s="33"/>
      <c r="K80" s="35"/>
      <c r="L80" s="36"/>
      <c r="M80" s="35"/>
      <c r="N80" s="35"/>
      <c r="O80" s="35"/>
      <c r="P80" s="35"/>
    </row>
    <row r="81" spans="1:16" x14ac:dyDescent="0.25">
      <c r="B81" s="145" t="s">
        <v>118</v>
      </c>
      <c r="C81" s="39"/>
      <c r="D81" s="35"/>
      <c r="E81" s="36"/>
      <c r="F81" s="36"/>
      <c r="G81" s="36"/>
      <c r="H81" s="36"/>
      <c r="I81" s="36"/>
      <c r="J81" s="35"/>
      <c r="K81" s="35"/>
      <c r="L81" s="36"/>
      <c r="M81" s="35"/>
      <c r="N81" s="35"/>
      <c r="O81" s="35"/>
      <c r="P81" s="35"/>
    </row>
    <row r="82" spans="1:16" x14ac:dyDescent="0.25">
      <c r="B82" s="273" t="s">
        <v>163</v>
      </c>
      <c r="C82" s="36"/>
      <c r="D82" s="35"/>
      <c r="E82" s="36"/>
      <c r="F82" s="36"/>
      <c r="G82" s="36"/>
      <c r="H82" s="36"/>
      <c r="I82" s="36"/>
      <c r="J82" s="35"/>
      <c r="K82" s="35"/>
      <c r="L82" s="36"/>
      <c r="M82" s="35"/>
      <c r="N82" s="35"/>
      <c r="O82" s="35"/>
      <c r="P82" s="35"/>
    </row>
    <row r="83" spans="1:16" x14ac:dyDescent="0.25">
      <c r="B83" s="288" t="s">
        <v>164</v>
      </c>
      <c r="J83" s="381" t="s">
        <v>438</v>
      </c>
      <c r="K83" s="380">
        <v>46210</v>
      </c>
      <c r="L83" t="s">
        <v>129</v>
      </c>
      <c r="M83" t="s">
        <v>439</v>
      </c>
      <c r="O83" t="s">
        <v>417</v>
      </c>
    </row>
    <row r="84" spans="1:16" x14ac:dyDescent="0.25">
      <c r="A84">
        <v>2026</v>
      </c>
      <c r="B84" s="288" t="s">
        <v>217</v>
      </c>
      <c r="K84" s="380">
        <v>46219</v>
      </c>
      <c r="L84" t="s">
        <v>129</v>
      </c>
      <c r="M84" t="s">
        <v>440</v>
      </c>
      <c r="O84" t="s">
        <v>441</v>
      </c>
      <c r="P84" t="s">
        <v>442</v>
      </c>
    </row>
    <row r="85" spans="1:16" x14ac:dyDescent="0.25">
      <c r="B85" s="288" t="s">
        <v>218</v>
      </c>
      <c r="K85" s="380">
        <v>46224</v>
      </c>
      <c r="L85" t="s">
        <v>129</v>
      </c>
      <c r="M85" t="s">
        <v>443</v>
      </c>
      <c r="O85" t="s">
        <v>184</v>
      </c>
      <c r="P85" t="s">
        <v>444</v>
      </c>
    </row>
    <row r="86" spans="1:16" x14ac:dyDescent="0.25">
      <c r="B86" s="288" t="s">
        <v>226</v>
      </c>
      <c r="K86" s="380">
        <v>46225</v>
      </c>
      <c r="L86" t="s">
        <v>129</v>
      </c>
      <c r="M86" t="s">
        <v>445</v>
      </c>
      <c r="O86" t="s">
        <v>184</v>
      </c>
      <c r="P86" t="s">
        <v>268</v>
      </c>
    </row>
    <row r="87" spans="1:16" x14ac:dyDescent="0.25">
      <c r="B87" s="288" t="s">
        <v>234</v>
      </c>
      <c r="K87" s="380">
        <v>46226</v>
      </c>
      <c r="L87" t="s">
        <v>446</v>
      </c>
      <c r="M87" t="s">
        <v>447</v>
      </c>
      <c r="O87" t="s">
        <v>417</v>
      </c>
    </row>
    <row r="88" spans="1:16" x14ac:dyDescent="0.25">
      <c r="B88" s="288" t="s">
        <v>235</v>
      </c>
      <c r="K88" s="380">
        <v>46226</v>
      </c>
      <c r="L88" t="s">
        <v>446</v>
      </c>
      <c r="M88" t="s">
        <v>448</v>
      </c>
      <c r="O88" t="s">
        <v>284</v>
      </c>
    </row>
    <row r="89" spans="1:16" x14ac:dyDescent="0.25">
      <c r="B89" s="288" t="s">
        <v>236</v>
      </c>
      <c r="K89" s="380">
        <v>46231</v>
      </c>
      <c r="L89" t="s">
        <v>446</v>
      </c>
      <c r="M89" t="s">
        <v>449</v>
      </c>
      <c r="O89" t="s">
        <v>450</v>
      </c>
      <c r="P89" t="s">
        <v>268</v>
      </c>
    </row>
    <row r="90" spans="1:16" x14ac:dyDescent="0.25">
      <c r="B90" s="288" t="s">
        <v>452</v>
      </c>
      <c r="K90" s="380">
        <v>46231</v>
      </c>
      <c r="L90" t="s">
        <v>240</v>
      </c>
      <c r="M90" t="s">
        <v>451</v>
      </c>
      <c r="O90" t="s">
        <v>184</v>
      </c>
    </row>
    <row r="91" spans="1:16" x14ac:dyDescent="0.25">
      <c r="B91" s="288" t="s">
        <v>453</v>
      </c>
    </row>
    <row r="92" spans="1:16" x14ac:dyDescent="0.25">
      <c r="B92" s="288" t="s">
        <v>454</v>
      </c>
    </row>
    <row r="93" spans="1:16" x14ac:dyDescent="0.25">
      <c r="B93" s="288" t="s">
        <v>455</v>
      </c>
    </row>
    <row r="94" spans="1:16" x14ac:dyDescent="0.25">
      <c r="B94" s="288" t="s">
        <v>456</v>
      </c>
    </row>
    <row r="95" spans="1:16" x14ac:dyDescent="0.25">
      <c r="B95" s="288" t="s">
        <v>457</v>
      </c>
    </row>
  </sheetData>
  <mergeCells count="11">
    <mergeCell ref="B1:B2"/>
    <mergeCell ref="C1:E1"/>
    <mergeCell ref="F1:H1"/>
    <mergeCell ref="A1:A2"/>
    <mergeCell ref="M1:M2"/>
    <mergeCell ref="N1:N2"/>
    <mergeCell ref="O1:O2"/>
    <mergeCell ref="P1:P2"/>
    <mergeCell ref="I1:J1"/>
    <mergeCell ref="K1:K2"/>
    <mergeCell ref="L1:L2"/>
  </mergeCells>
  <phoneticPr fontId="27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I36"/>
  <sheetViews>
    <sheetView topLeftCell="A7" zoomScaleNormal="100" workbookViewId="0">
      <selection activeCell="F29" sqref="F29"/>
    </sheetView>
  </sheetViews>
  <sheetFormatPr baseColWidth="10" defaultRowHeight="15" x14ac:dyDescent="0.25"/>
  <cols>
    <col min="1" max="1" width="22.42578125" customWidth="1"/>
    <col min="2" max="2" width="10.28515625" customWidth="1"/>
    <col min="3" max="3" width="16.28515625" customWidth="1"/>
    <col min="4" max="4" width="13.85546875" customWidth="1"/>
    <col min="5" max="5" width="6.7109375" customWidth="1"/>
    <col min="6" max="6" width="15.5703125" customWidth="1"/>
  </cols>
  <sheetData>
    <row r="1" spans="1:9" ht="19.5" customHeight="1" thickBot="1" x14ac:dyDescent="0.3">
      <c r="A1" s="391" t="s">
        <v>13</v>
      </c>
      <c r="B1" s="391"/>
      <c r="C1" s="391"/>
      <c r="D1" s="391"/>
      <c r="E1" s="391"/>
      <c r="F1" s="391"/>
    </row>
    <row r="2" spans="1:9" ht="19.5" customHeight="1" x14ac:dyDescent="0.25">
      <c r="A2" s="40" t="s">
        <v>14</v>
      </c>
      <c r="B2" s="41"/>
      <c r="C2" s="42" t="s">
        <v>15</v>
      </c>
      <c r="D2" s="43"/>
      <c r="E2" s="44"/>
      <c r="F2" s="45"/>
    </row>
    <row r="3" spans="1:9" ht="19.5" customHeight="1" x14ac:dyDescent="0.25">
      <c r="A3" s="46" t="s">
        <v>16</v>
      </c>
      <c r="B3" s="47"/>
      <c r="C3" s="48"/>
      <c r="D3" s="49"/>
      <c r="E3" s="49"/>
      <c r="F3" s="50"/>
    </row>
    <row r="4" spans="1:9" ht="19.5" customHeight="1" x14ac:dyDescent="0.25">
      <c r="A4" s="46" t="s">
        <v>17</v>
      </c>
      <c r="B4" s="47"/>
      <c r="C4" s="392" t="s">
        <v>401</v>
      </c>
      <c r="D4" s="392"/>
      <c r="E4" s="392"/>
      <c r="F4" s="392"/>
    </row>
    <row r="5" spans="1:9" ht="19.5" customHeight="1" thickBot="1" x14ac:dyDescent="0.3">
      <c r="A5" s="51" t="s">
        <v>18</v>
      </c>
      <c r="B5" s="52" t="s">
        <v>19</v>
      </c>
      <c r="C5" s="53"/>
      <c r="D5" s="54"/>
      <c r="E5" s="54"/>
      <c r="F5" s="55"/>
    </row>
    <row r="6" spans="1:9" ht="19.5" customHeight="1" thickBot="1" x14ac:dyDescent="0.3">
      <c r="A6" s="56" t="s">
        <v>20</v>
      </c>
      <c r="B6" s="57" t="s">
        <v>21</v>
      </c>
      <c r="C6" s="58" t="s">
        <v>22</v>
      </c>
      <c r="D6" s="59" t="s">
        <v>23</v>
      </c>
      <c r="E6" s="60" t="s">
        <v>24</v>
      </c>
      <c r="F6" s="61" t="s">
        <v>10</v>
      </c>
    </row>
    <row r="7" spans="1:9" ht="19.5" customHeight="1" x14ac:dyDescent="0.25">
      <c r="A7" s="378" t="s">
        <v>25</v>
      </c>
      <c r="B7" s="62" t="s">
        <v>411</v>
      </c>
      <c r="C7" s="219" t="s">
        <v>26</v>
      </c>
      <c r="D7" s="256"/>
      <c r="E7" s="318"/>
      <c r="F7" s="319">
        <f>'ALEJANDRO J'!I30</f>
        <v>590562</v>
      </c>
    </row>
    <row r="8" spans="1:9" s="228" customFormat="1" ht="19.5" customHeight="1" x14ac:dyDescent="0.25">
      <c r="A8" s="378" t="s">
        <v>293</v>
      </c>
      <c r="B8" s="62" t="s">
        <v>411</v>
      </c>
      <c r="C8" s="219" t="s">
        <v>26</v>
      </c>
      <c r="D8" s="257"/>
      <c r="E8" s="221"/>
      <c r="F8" s="325">
        <f>TOLEDO!I30</f>
        <v>253098</v>
      </c>
    </row>
    <row r="9" spans="1:9" s="228" customFormat="1" ht="19.5" customHeight="1" x14ac:dyDescent="0.25">
      <c r="A9" s="378" t="s">
        <v>232</v>
      </c>
      <c r="B9" s="62" t="s">
        <v>411</v>
      </c>
      <c r="C9" s="219" t="s">
        <v>26</v>
      </c>
      <c r="D9" s="257"/>
      <c r="E9" s="317"/>
      <c r="F9" s="316">
        <f>LODI!I30</f>
        <v>168732</v>
      </c>
    </row>
    <row r="10" spans="1:9" s="228" customFormat="1" ht="19.5" customHeight="1" x14ac:dyDescent="0.25">
      <c r="A10" s="378" t="s">
        <v>241</v>
      </c>
      <c r="B10" s="62" t="s">
        <v>411</v>
      </c>
      <c r="C10" s="219" t="s">
        <v>26</v>
      </c>
      <c r="D10" s="303"/>
      <c r="E10" s="317"/>
      <c r="F10" s="325">
        <f>'OLIVARES M'!I30</f>
        <v>126549</v>
      </c>
    </row>
    <row r="11" spans="1:9" ht="19.5" customHeight="1" x14ac:dyDescent="0.25">
      <c r="A11" s="378" t="s">
        <v>202</v>
      </c>
      <c r="B11" s="62" t="s">
        <v>411</v>
      </c>
      <c r="C11" s="219" t="s">
        <v>26</v>
      </c>
      <c r="D11" s="220"/>
      <c r="E11" s="221"/>
      <c r="F11" s="290">
        <f>'RAMA M'!I30</f>
        <v>506196</v>
      </c>
    </row>
    <row r="12" spans="1:9" ht="19.5" customHeight="1" x14ac:dyDescent="0.25">
      <c r="A12" s="378" t="s">
        <v>137</v>
      </c>
      <c r="B12" s="62" t="s">
        <v>411</v>
      </c>
      <c r="C12" s="219" t="s">
        <v>26</v>
      </c>
      <c r="D12" s="220"/>
      <c r="E12" s="222"/>
      <c r="F12" s="223">
        <f>MATEOS!I32</f>
        <v>506196</v>
      </c>
      <c r="I12" t="s">
        <v>130</v>
      </c>
    </row>
    <row r="13" spans="1:9" ht="19.5" customHeight="1" x14ac:dyDescent="0.25">
      <c r="A13" s="374" t="s">
        <v>409</v>
      </c>
      <c r="B13" s="62" t="s">
        <v>411</v>
      </c>
      <c r="C13" s="219" t="s">
        <v>26</v>
      </c>
      <c r="D13" s="220"/>
      <c r="E13" s="222"/>
      <c r="F13" s="223">
        <f>'FONTANELLAZ C'!I30</f>
        <v>168732</v>
      </c>
    </row>
    <row r="14" spans="1:9" ht="19.5" customHeight="1" x14ac:dyDescent="0.25">
      <c r="A14" s="374" t="s">
        <v>27</v>
      </c>
      <c r="B14" s="62" t="s">
        <v>411</v>
      </c>
      <c r="C14" s="219" t="s">
        <v>26</v>
      </c>
      <c r="D14" s="199"/>
      <c r="E14" s="200"/>
      <c r="F14" s="300">
        <f>'BARBAGLIA L'!I32</f>
        <v>42183</v>
      </c>
    </row>
    <row r="15" spans="1:9" s="228" customFormat="1" ht="19.5" customHeight="1" x14ac:dyDescent="0.25">
      <c r="A15" s="375" t="s">
        <v>413</v>
      </c>
      <c r="B15" s="62" t="s">
        <v>411</v>
      </c>
      <c r="C15" s="219" t="s">
        <v>26</v>
      </c>
      <c r="D15" s="372"/>
      <c r="E15" s="373"/>
      <c r="F15" s="300">
        <f>DOBANTON!I33</f>
        <v>84366</v>
      </c>
    </row>
    <row r="16" spans="1:9" s="228" customFormat="1" ht="19.5" customHeight="1" x14ac:dyDescent="0.25">
      <c r="A16" s="375" t="s">
        <v>414</v>
      </c>
      <c r="B16" s="62" t="s">
        <v>411</v>
      </c>
      <c r="C16" s="219" t="s">
        <v>26</v>
      </c>
      <c r="D16" s="372"/>
      <c r="E16" s="373"/>
      <c r="F16" s="300">
        <f>'ORDOÑEZ S'!I33</f>
        <v>84366</v>
      </c>
    </row>
    <row r="17" spans="1:6" ht="19.5" customHeight="1" x14ac:dyDescent="0.25">
      <c r="A17" s="376" t="s">
        <v>136</v>
      </c>
      <c r="B17" s="62" t="s">
        <v>411</v>
      </c>
      <c r="C17" s="219" t="s">
        <v>26</v>
      </c>
      <c r="D17" s="256"/>
      <c r="E17" s="255"/>
      <c r="F17" s="254">
        <f>CANEPA!I31</f>
        <v>717111</v>
      </c>
    </row>
    <row r="18" spans="1:6" s="228" customFormat="1" ht="19.5" customHeight="1" x14ac:dyDescent="0.25">
      <c r="A18" s="377" t="s">
        <v>195</v>
      </c>
      <c r="B18" s="62">
        <v>46173</v>
      </c>
      <c r="C18" s="219" t="s">
        <v>26</v>
      </c>
      <c r="D18" s="220"/>
      <c r="E18" s="222"/>
      <c r="F18" s="223">
        <f>RAMIREZ!I32</f>
        <v>379647</v>
      </c>
    </row>
    <row r="19" spans="1:6" s="228" customFormat="1" ht="19.5" customHeight="1" x14ac:dyDescent="0.25">
      <c r="A19" s="379" t="s">
        <v>417</v>
      </c>
      <c r="B19" s="62" t="s">
        <v>411</v>
      </c>
      <c r="C19" s="219" t="s">
        <v>26</v>
      </c>
      <c r="D19" s="257"/>
      <c r="E19" s="222"/>
      <c r="F19" s="223">
        <f>LOPEZE!I33</f>
        <v>337464</v>
      </c>
    </row>
    <row r="20" spans="1:6" ht="19.5" customHeight="1" x14ac:dyDescent="0.25">
      <c r="A20" s="224" t="s">
        <v>298</v>
      </c>
      <c r="B20" s="62" t="s">
        <v>411</v>
      </c>
      <c r="C20" s="219" t="s">
        <v>26</v>
      </c>
      <c r="D20" s="220"/>
      <c r="E20" s="222"/>
      <c r="F20" s="225">
        <f>VIVIANI!I33</f>
        <v>84366</v>
      </c>
    </row>
    <row r="21" spans="1:6" s="228" customFormat="1" ht="19.5" customHeight="1" x14ac:dyDescent="0.25">
      <c r="A21" s="224" t="s">
        <v>423</v>
      </c>
      <c r="B21" s="62" t="s">
        <v>411</v>
      </c>
      <c r="C21" s="219" t="s">
        <v>26</v>
      </c>
      <c r="D21" s="303"/>
      <c r="E21" s="222"/>
      <c r="F21" s="225">
        <f>BORSINI!I31</f>
        <v>42183</v>
      </c>
    </row>
    <row r="22" spans="1:6" s="228" customFormat="1" ht="19.5" customHeight="1" x14ac:dyDescent="0.25">
      <c r="A22" s="224" t="s">
        <v>426</v>
      </c>
      <c r="B22" s="62" t="s">
        <v>411</v>
      </c>
      <c r="C22" s="219" t="s">
        <v>26</v>
      </c>
      <c r="D22" s="303"/>
      <c r="E22" s="222"/>
      <c r="F22" s="225">
        <f>EYVASTRE!I31</f>
        <v>42183</v>
      </c>
    </row>
    <row r="23" spans="1:6" s="228" customFormat="1" ht="19.5" customHeight="1" x14ac:dyDescent="0.25">
      <c r="A23" s="224" t="s">
        <v>304</v>
      </c>
      <c r="B23" s="62" t="s">
        <v>411</v>
      </c>
      <c r="C23" s="226" t="s">
        <v>26</v>
      </c>
      <c r="D23" s="303"/>
      <c r="E23" s="222"/>
      <c r="F23" s="225">
        <f>'DE NAPOLI'!I31</f>
        <v>42183</v>
      </c>
    </row>
    <row r="24" spans="1:6" s="228" customFormat="1" ht="19.5" customHeight="1" x14ac:dyDescent="0.25">
      <c r="A24" s="224" t="s">
        <v>303</v>
      </c>
      <c r="B24" s="62" t="s">
        <v>411</v>
      </c>
      <c r="C24" s="226" t="s">
        <v>26</v>
      </c>
      <c r="D24" s="303"/>
      <c r="E24" s="222"/>
      <c r="F24" s="225">
        <f>CATTANEO!I31</f>
        <v>42183</v>
      </c>
    </row>
    <row r="25" spans="1:6" s="228" customFormat="1" ht="19.5" customHeight="1" x14ac:dyDescent="0.25">
      <c r="A25" s="224" t="s">
        <v>262</v>
      </c>
      <c r="B25" s="62" t="s">
        <v>411</v>
      </c>
      <c r="C25" s="226" t="s">
        <v>26</v>
      </c>
      <c r="D25" s="303"/>
      <c r="E25" s="222"/>
      <c r="F25" s="225">
        <f>BACAJIMENEZ!I31</f>
        <v>42183</v>
      </c>
    </row>
    <row r="26" spans="1:6" ht="19.5" customHeight="1" x14ac:dyDescent="0.25">
      <c r="A26" s="224" t="s">
        <v>427</v>
      </c>
      <c r="B26" s="62" t="s">
        <v>411</v>
      </c>
      <c r="C26" s="226" t="s">
        <v>26</v>
      </c>
      <c r="D26" s="257"/>
      <c r="E26" s="258"/>
      <c r="F26" s="227">
        <f>NICOLA!I31</f>
        <v>42183</v>
      </c>
    </row>
    <row r="27" spans="1:6" s="228" customFormat="1" ht="19.5" customHeight="1" x14ac:dyDescent="0.25">
      <c r="A27" s="340" t="s">
        <v>386</v>
      </c>
      <c r="B27" s="62" t="s">
        <v>411</v>
      </c>
      <c r="C27" s="226" t="s">
        <v>26</v>
      </c>
      <c r="D27" s="303"/>
      <c r="E27" s="221"/>
      <c r="F27" s="328">
        <f>AMBROSINI!I31</f>
        <v>42183</v>
      </c>
    </row>
    <row r="28" spans="1:6" ht="19.5" customHeight="1" x14ac:dyDescent="0.25">
      <c r="A28" s="218"/>
      <c r="B28" s="62"/>
      <c r="C28" s="219"/>
      <c r="D28" s="220"/>
      <c r="E28" s="222"/>
      <c r="F28" s="223"/>
    </row>
    <row r="29" spans="1:6" ht="19.5" customHeight="1" x14ac:dyDescent="0.25">
      <c r="A29" s="393"/>
      <c r="B29" s="394"/>
      <c r="C29" s="394"/>
      <c r="D29" s="394"/>
      <c r="E29" s="395"/>
      <c r="F29" s="63">
        <f>SUM(F7:F28)</f>
        <v>4344849</v>
      </c>
    </row>
    <row r="30" spans="1:6" x14ac:dyDescent="0.25">
      <c r="A30" s="54"/>
      <c r="B30" s="54"/>
      <c r="C30" s="54"/>
      <c r="D30" s="54"/>
      <c r="E30" s="54"/>
      <c r="F30" s="54"/>
    </row>
    <row r="31" spans="1:6" ht="15.75" x14ac:dyDescent="0.25">
      <c r="A31" s="396" t="s">
        <v>406</v>
      </c>
      <c r="B31" s="396"/>
      <c r="C31" s="396"/>
      <c r="D31" s="389" t="s">
        <v>61</v>
      </c>
      <c r="E31" s="389"/>
      <c r="F31" s="389"/>
    </row>
    <row r="32" spans="1:6" x14ac:dyDescent="0.25">
      <c r="A32" s="54"/>
      <c r="B32" s="54"/>
      <c r="C32" s="54"/>
      <c r="D32" s="390" t="s">
        <v>38</v>
      </c>
      <c r="E32" s="390"/>
      <c r="F32" s="390"/>
    </row>
    <row r="33" spans="4:6" x14ac:dyDescent="0.25">
      <c r="D33" s="201"/>
    </row>
    <row r="34" spans="4:6" x14ac:dyDescent="0.25">
      <c r="D34" s="86"/>
    </row>
    <row r="35" spans="4:6" x14ac:dyDescent="0.25">
      <c r="D35" s="389" t="s">
        <v>62</v>
      </c>
      <c r="E35" s="389"/>
      <c r="F35" s="389"/>
    </row>
    <row r="36" spans="4:6" x14ac:dyDescent="0.25">
      <c r="D36" s="389" t="s">
        <v>40</v>
      </c>
      <c r="E36" s="389"/>
      <c r="F36" s="389"/>
    </row>
  </sheetData>
  <mergeCells count="8">
    <mergeCell ref="D31:F31"/>
    <mergeCell ref="D32:F32"/>
    <mergeCell ref="D35:F35"/>
    <mergeCell ref="D36:F36"/>
    <mergeCell ref="A1:F1"/>
    <mergeCell ref="C4:F4"/>
    <mergeCell ref="A29:E29"/>
    <mergeCell ref="A31:C31"/>
  </mergeCells>
  <phoneticPr fontId="2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44"/>
  <sheetViews>
    <sheetView topLeftCell="A19" workbookViewId="0">
      <selection activeCell="N19" sqref="N19"/>
    </sheetView>
  </sheetViews>
  <sheetFormatPr baseColWidth="10" defaultRowHeight="15" x14ac:dyDescent="0.25"/>
  <cols>
    <col min="1" max="1" width="7.5703125" customWidth="1"/>
    <col min="2" max="2" width="5.140625" customWidth="1"/>
    <col min="3" max="3" width="10" customWidth="1"/>
    <col min="4" max="4" width="5.28515625" customWidth="1"/>
    <col min="5" max="5" width="5.42578125" customWidth="1"/>
    <col min="6" max="6" width="7.42578125" customWidth="1"/>
    <col min="7" max="7" width="6.28515625" customWidth="1"/>
    <col min="8" max="8" width="11.140625" customWidth="1"/>
    <col min="9" max="9" width="13" customWidth="1"/>
    <col min="10" max="10" width="6" customWidth="1"/>
    <col min="11" max="11" width="9.7109375" customWidth="1"/>
  </cols>
  <sheetData>
    <row r="1" spans="1:11" ht="19.5" customHeight="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ht="19.5" customHeight="1" x14ac:dyDescent="0.25">
      <c r="A2" s="429" t="s">
        <v>133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ht="19.5" customHeight="1" x14ac:dyDescent="0.25">
      <c r="A3" s="429" t="s">
        <v>123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ht="19.5" customHeight="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ht="19.5" customHeight="1" x14ac:dyDescent="0.25">
      <c r="A5" s="406"/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ht="19.5" customHeight="1" x14ac:dyDescent="0.25">
      <c r="A6" s="415">
        <f>'ALEJANDRO J'!A6:J6</f>
        <v>0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ht="18" customHeight="1" x14ac:dyDescent="0.25">
      <c r="A7" s="66" t="s">
        <v>2</v>
      </c>
      <c r="B7" s="191"/>
      <c r="C7" s="192"/>
      <c r="D7" s="190" t="s">
        <v>6</v>
      </c>
      <c r="E7" s="191"/>
      <c r="F7" s="192"/>
      <c r="G7" s="190" t="s">
        <v>7</v>
      </c>
      <c r="H7" s="192"/>
      <c r="I7" s="418" t="s">
        <v>10</v>
      </c>
      <c r="J7" s="420" t="s">
        <v>33</v>
      </c>
      <c r="K7" s="421"/>
    </row>
    <row r="8" spans="1:11" ht="18" customHeight="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ht="18" customHeight="1" x14ac:dyDescent="0.25">
      <c r="A9" s="9">
        <v>14</v>
      </c>
      <c r="B9" s="10">
        <v>8</v>
      </c>
      <c r="C9" s="138" t="s">
        <v>126</v>
      </c>
      <c r="D9" s="19">
        <v>14</v>
      </c>
      <c r="E9" s="10">
        <v>8</v>
      </c>
      <c r="F9" s="138" t="s">
        <v>124</v>
      </c>
      <c r="G9" s="12">
        <v>0.25</v>
      </c>
      <c r="H9" s="13">
        <v>67683</v>
      </c>
      <c r="I9" s="14">
        <v>16920.75</v>
      </c>
      <c r="J9" s="424"/>
      <c r="K9" s="425"/>
    </row>
    <row r="10" spans="1:11" ht="18" customHeight="1" x14ac:dyDescent="0.25">
      <c r="A10" s="9">
        <v>27</v>
      </c>
      <c r="B10" s="10">
        <v>8</v>
      </c>
      <c r="C10" s="138" t="s">
        <v>120</v>
      </c>
      <c r="D10" s="19">
        <v>28</v>
      </c>
      <c r="E10" s="10">
        <v>8</v>
      </c>
      <c r="F10" s="138" t="s">
        <v>128</v>
      </c>
      <c r="G10" s="12">
        <v>0.25</v>
      </c>
      <c r="H10" s="13">
        <v>67683</v>
      </c>
      <c r="I10" s="14">
        <v>16920.75</v>
      </c>
      <c r="J10" s="424"/>
      <c r="K10" s="425"/>
    </row>
    <row r="11" spans="1:11" ht="18" customHeight="1" x14ac:dyDescent="0.25">
      <c r="A11" s="9"/>
      <c r="B11" s="10"/>
      <c r="C11" s="138"/>
      <c r="D11" s="9"/>
      <c r="E11" s="10"/>
      <c r="F11" s="138"/>
      <c r="G11" s="12"/>
      <c r="H11" s="13"/>
      <c r="I11" s="14"/>
      <c r="J11" s="424"/>
      <c r="K11" s="425"/>
    </row>
    <row r="12" spans="1:11" ht="18" customHeight="1" x14ac:dyDescent="0.25">
      <c r="A12" s="23"/>
      <c r="B12" s="10"/>
      <c r="C12" s="138"/>
      <c r="D12" s="9"/>
      <c r="E12" s="10"/>
      <c r="F12" s="138"/>
      <c r="G12" s="12"/>
      <c r="H12" s="13"/>
      <c r="I12" s="14"/>
      <c r="J12" s="424"/>
      <c r="K12" s="425"/>
    </row>
    <row r="13" spans="1:11" ht="18" customHeight="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424"/>
      <c r="K13" s="425"/>
    </row>
    <row r="14" spans="1:11" ht="18" customHeight="1" x14ac:dyDescent="0.25">
      <c r="A14" s="9"/>
      <c r="B14" s="10"/>
      <c r="C14" s="138"/>
      <c r="D14" s="23"/>
      <c r="E14" s="10"/>
      <c r="F14" s="138"/>
      <c r="G14" s="12"/>
      <c r="H14" s="13"/>
      <c r="I14" s="14"/>
      <c r="J14" s="424"/>
      <c r="K14" s="425"/>
    </row>
    <row r="15" spans="1:11" ht="18" customHeight="1" x14ac:dyDescent="0.25">
      <c r="A15" s="9"/>
      <c r="B15" s="10"/>
      <c r="C15" s="138"/>
      <c r="D15" s="19"/>
      <c r="E15" s="10"/>
      <c r="F15" s="138"/>
      <c r="G15" s="12"/>
      <c r="H15" s="13"/>
      <c r="I15" s="14"/>
      <c r="J15" s="411"/>
      <c r="K15" s="412"/>
    </row>
    <row r="16" spans="1:11" ht="18" customHeight="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411"/>
      <c r="K16" s="412"/>
    </row>
    <row r="17" spans="1:11" ht="18" customHeight="1" x14ac:dyDescent="0.25">
      <c r="A17" s="9"/>
      <c r="B17" s="10"/>
      <c r="C17" s="138"/>
      <c r="D17" s="19"/>
      <c r="E17" s="10"/>
      <c r="F17" s="138"/>
      <c r="G17" s="12"/>
      <c r="H17" s="13"/>
      <c r="I17" s="14"/>
      <c r="J17" s="411"/>
      <c r="K17" s="412"/>
    </row>
    <row r="18" spans="1:11" ht="18" customHeight="1" x14ac:dyDescent="0.25">
      <c r="A18" s="9"/>
      <c r="B18" s="10"/>
      <c r="C18" s="138"/>
      <c r="D18" s="9"/>
      <c r="E18" s="10"/>
      <c r="F18" s="138"/>
      <c r="G18" s="12"/>
      <c r="H18" s="13"/>
      <c r="I18" s="14"/>
      <c r="J18" s="411"/>
      <c r="K18" s="412"/>
    </row>
    <row r="19" spans="1:11" ht="18" customHeight="1" x14ac:dyDescent="0.25">
      <c r="A19" s="9"/>
      <c r="B19" s="10"/>
      <c r="C19" s="138"/>
      <c r="D19" s="19"/>
      <c r="E19" s="10"/>
      <c r="F19" s="138"/>
      <c r="G19" s="12"/>
      <c r="H19" s="13"/>
      <c r="I19" s="14"/>
      <c r="J19" s="413"/>
      <c r="K19" s="414"/>
    </row>
    <row r="20" spans="1:11" ht="18" customHeight="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11"/>
      <c r="K20" s="412"/>
    </row>
    <row r="21" spans="1:11" ht="18" customHeight="1" x14ac:dyDescent="0.25">
      <c r="A21" s="9"/>
      <c r="B21" s="10"/>
      <c r="C21" s="11"/>
      <c r="D21" s="9"/>
      <c r="E21" s="10"/>
      <c r="F21" s="11"/>
      <c r="G21" s="72"/>
      <c r="H21" s="13"/>
      <c r="I21" s="71"/>
      <c r="J21" s="413"/>
      <c r="K21" s="414"/>
    </row>
    <row r="22" spans="1:11" ht="18" customHeight="1" x14ac:dyDescent="0.25">
      <c r="A22" s="9"/>
      <c r="B22" s="10"/>
      <c r="C22" s="11"/>
      <c r="D22" s="19"/>
      <c r="E22" s="10"/>
      <c r="F22" s="11"/>
      <c r="G22" s="12"/>
      <c r="H22" s="13"/>
      <c r="I22" s="71"/>
      <c r="J22" s="413"/>
      <c r="K22" s="414"/>
    </row>
    <row r="23" spans="1:11" ht="18" customHeight="1" x14ac:dyDescent="0.25">
      <c r="A23" s="29"/>
      <c r="B23" s="29"/>
      <c r="C23" s="30"/>
      <c r="D23" s="29"/>
      <c r="E23" s="29"/>
      <c r="F23" s="30"/>
      <c r="G23" s="12"/>
      <c r="H23" s="13"/>
      <c r="I23" s="14"/>
      <c r="J23" s="400"/>
      <c r="K23" s="401"/>
    </row>
    <row r="24" spans="1:11" ht="18" customHeight="1" x14ac:dyDescent="0.25">
      <c r="A24" s="29"/>
      <c r="B24" s="29"/>
      <c r="C24" s="30"/>
      <c r="D24" s="29"/>
      <c r="E24" s="29"/>
      <c r="F24" s="30"/>
      <c r="G24" s="12"/>
      <c r="H24" s="13"/>
      <c r="I24" s="14"/>
      <c r="J24" s="400"/>
      <c r="K24" s="401"/>
    </row>
    <row r="25" spans="1:11" ht="18" customHeight="1" x14ac:dyDescent="0.25">
      <c r="A25" s="188" t="s">
        <v>21</v>
      </c>
      <c r="B25" s="74"/>
      <c r="C25" s="94" t="s">
        <v>35</v>
      </c>
      <c r="D25" s="189"/>
      <c r="E25" s="406" t="s">
        <v>36</v>
      </c>
      <c r="F25" s="410"/>
      <c r="G25" s="410"/>
      <c r="H25" s="407"/>
      <c r="I25" s="195"/>
      <c r="J25" s="400"/>
      <c r="K25" s="401"/>
    </row>
    <row r="26" spans="1:11" ht="18" customHeight="1" x14ac:dyDescent="0.25">
      <c r="A26" s="406"/>
      <c r="B26" s="407"/>
      <c r="C26" s="408"/>
      <c r="D26" s="409"/>
      <c r="E26" s="406"/>
      <c r="F26" s="410"/>
      <c r="G26" s="410"/>
      <c r="H26" s="407"/>
      <c r="I26" s="196"/>
      <c r="J26" s="400"/>
      <c r="K26" s="401"/>
    </row>
    <row r="27" spans="1:11" ht="18" customHeight="1" x14ac:dyDescent="0.25">
      <c r="A27" s="403"/>
      <c r="B27" s="404"/>
      <c r="C27" s="403"/>
      <c r="D27" s="404"/>
      <c r="E27" s="403"/>
      <c r="F27" s="405"/>
      <c r="G27" s="405"/>
      <c r="H27" s="404"/>
      <c r="I27" s="78"/>
      <c r="J27" s="400"/>
      <c r="K27" s="401"/>
    </row>
    <row r="28" spans="1:11" ht="18" customHeight="1" x14ac:dyDescent="0.25">
      <c r="A28" s="403"/>
      <c r="B28" s="404"/>
      <c r="C28" s="79"/>
      <c r="D28" s="80"/>
      <c r="E28" s="403"/>
      <c r="F28" s="405"/>
      <c r="G28" s="405"/>
      <c r="H28" s="404"/>
      <c r="I28" s="78"/>
      <c r="J28" s="400"/>
      <c r="K28" s="401"/>
    </row>
    <row r="29" spans="1:11" ht="18" customHeight="1" x14ac:dyDescent="0.25">
      <c r="A29" s="397" t="s">
        <v>37</v>
      </c>
      <c r="B29" s="398"/>
      <c r="C29" s="398"/>
      <c r="D29" s="398"/>
      <c r="E29" s="398"/>
      <c r="F29" s="398"/>
      <c r="G29" s="398"/>
      <c r="H29" s="399"/>
      <c r="I29" s="81">
        <v>0</v>
      </c>
      <c r="J29" s="400"/>
      <c r="K29" s="401"/>
    </row>
    <row r="30" spans="1:11" ht="18" customHeight="1" x14ac:dyDescent="0.25">
      <c r="A30" s="82"/>
      <c r="B30" s="83"/>
      <c r="C30" s="83"/>
      <c r="D30" s="83"/>
      <c r="E30" s="83"/>
      <c r="F30" s="83"/>
      <c r="G30" s="83"/>
      <c r="H30" s="84"/>
      <c r="I30" s="85"/>
      <c r="J30" s="400"/>
      <c r="K30" s="401"/>
    </row>
    <row r="31" spans="1:11" ht="18" customHeight="1" x14ac:dyDescent="0.25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</row>
    <row r="32" spans="1:11" ht="18" customHeight="1" x14ac:dyDescent="0.25">
      <c r="A32" s="402" t="s">
        <v>140</v>
      </c>
      <c r="B32" s="402"/>
      <c r="C32" s="402"/>
      <c r="D32" s="402"/>
      <c r="E32" s="402"/>
      <c r="F32" s="402"/>
      <c r="G32" s="402"/>
      <c r="H32" s="402"/>
      <c r="I32" s="402"/>
      <c r="J32" s="402"/>
      <c r="K32" s="402"/>
    </row>
    <row r="33" spans="1:11" ht="18" customHeight="1" x14ac:dyDescent="0.25">
      <c r="A33" s="402"/>
      <c r="B33" s="402"/>
      <c r="C33" s="402"/>
      <c r="D33" s="402"/>
      <c r="E33" s="402"/>
      <c r="F33" s="402"/>
      <c r="G33" s="402"/>
      <c r="H33" s="402"/>
      <c r="I33" s="402"/>
      <c r="J33" s="402"/>
      <c r="K33" s="402"/>
    </row>
    <row r="34" spans="1:11" ht="18" customHeight="1" x14ac:dyDescent="0.25">
      <c r="A34" s="87"/>
      <c r="B34" s="86"/>
      <c r="C34" s="86"/>
      <c r="D34" s="86"/>
      <c r="E34" s="86"/>
      <c r="F34" s="86"/>
      <c r="G34" s="86"/>
      <c r="H34" s="86"/>
      <c r="I34" s="86"/>
      <c r="J34" s="187"/>
      <c r="K34" s="187"/>
    </row>
    <row r="35" spans="1:11" ht="18" customHeight="1" x14ac:dyDescent="0.25">
      <c r="A35" s="194"/>
      <c r="B35" s="194"/>
      <c r="C35" s="194"/>
      <c r="D35" s="194"/>
      <c r="E35" s="194"/>
      <c r="F35" s="193"/>
      <c r="G35" s="193"/>
      <c r="H35" s="193"/>
      <c r="I35" s="389" t="s">
        <v>61</v>
      </c>
      <c r="J35" s="389"/>
      <c r="K35" s="389"/>
    </row>
    <row r="36" spans="1:11" ht="18" customHeight="1" x14ac:dyDescent="0.25">
      <c r="A36" s="194"/>
      <c r="B36" s="194"/>
      <c r="C36" s="194"/>
      <c r="D36" s="194"/>
      <c r="E36" s="194"/>
      <c r="F36" s="193"/>
      <c r="G36" s="193"/>
      <c r="H36" s="193"/>
      <c r="I36" s="390" t="s">
        <v>38</v>
      </c>
      <c r="J36" s="390"/>
      <c r="K36" s="390"/>
    </row>
    <row r="37" spans="1:11" ht="18" customHeight="1" x14ac:dyDescent="0.25">
      <c r="A37" s="194"/>
      <c r="B37" s="194"/>
      <c r="C37" s="193"/>
      <c r="D37" s="193"/>
      <c r="E37" s="193"/>
      <c r="F37" s="193"/>
      <c r="G37" s="193"/>
      <c r="H37" s="193"/>
      <c r="I37" s="187"/>
    </row>
    <row r="38" spans="1:11" ht="18" customHeight="1" x14ac:dyDescent="0.25">
      <c r="A38" s="194"/>
      <c r="B38" s="194"/>
      <c r="C38" s="193"/>
      <c r="D38" s="193"/>
      <c r="E38" s="193"/>
      <c r="F38" s="193"/>
      <c r="G38" s="193"/>
      <c r="H38" s="193"/>
      <c r="I38" s="86"/>
    </row>
    <row r="39" spans="1:11" ht="18" customHeight="1" x14ac:dyDescent="0.25">
      <c r="A39" s="197" t="s">
        <v>39</v>
      </c>
      <c r="B39" s="194"/>
      <c r="C39" s="194"/>
      <c r="D39" s="194"/>
      <c r="E39" s="194"/>
      <c r="F39" s="194"/>
      <c r="G39" s="194"/>
      <c r="H39" s="194"/>
      <c r="I39" s="389" t="s">
        <v>62</v>
      </c>
      <c r="J39" s="389"/>
      <c r="K39" s="389"/>
    </row>
    <row r="40" spans="1:11" ht="18" customHeight="1" x14ac:dyDescent="0.25">
      <c r="A40" s="197" t="str">
        <f>'ALEJANDRO J'!A41</f>
        <v>SAN CRISTOBAL, JUNIO DE 2026</v>
      </c>
      <c r="B40" s="194"/>
      <c r="C40" s="193"/>
      <c r="D40" s="193"/>
      <c r="E40" s="193"/>
      <c r="F40" s="194"/>
      <c r="G40" s="194"/>
      <c r="H40" s="194"/>
      <c r="I40" s="389" t="s">
        <v>40</v>
      </c>
      <c r="J40" s="389"/>
      <c r="K40" s="389"/>
    </row>
    <row r="41" spans="1:11" ht="18" customHeight="1" x14ac:dyDescent="0.25">
      <c r="A41" s="194"/>
      <c r="B41" s="194"/>
      <c r="C41" s="193"/>
      <c r="D41" s="193"/>
      <c r="E41" s="193"/>
      <c r="F41" s="193"/>
      <c r="G41" s="193"/>
      <c r="H41" s="193"/>
      <c r="I41" s="86"/>
    </row>
    <row r="42" spans="1:11" ht="18" customHeight="1" x14ac:dyDescent="0.25">
      <c r="A42" s="194"/>
      <c r="B42" s="194"/>
      <c r="C42" s="193"/>
      <c r="D42" s="193"/>
      <c r="E42" s="193"/>
      <c r="F42" s="193"/>
      <c r="G42" s="193"/>
      <c r="H42" s="193"/>
    </row>
    <row r="43" spans="1:11" ht="18" customHeight="1" x14ac:dyDescent="0.25">
      <c r="A43" s="86"/>
      <c r="B43" s="86"/>
      <c r="C43" s="86"/>
      <c r="D43" s="86"/>
      <c r="E43" s="86"/>
      <c r="F43" s="86"/>
      <c r="G43" s="86"/>
      <c r="H43" s="86"/>
      <c r="I43" s="187"/>
    </row>
    <row r="44" spans="1:11" ht="18" customHeight="1" x14ac:dyDescent="0.25">
      <c r="A44" s="92"/>
      <c r="B44" s="86"/>
      <c r="C44" s="86"/>
      <c r="D44" s="86"/>
      <c r="E44" s="86"/>
      <c r="F44" s="86"/>
      <c r="G44" s="86"/>
      <c r="H44" s="86"/>
      <c r="I44" s="86"/>
    </row>
  </sheetData>
  <mergeCells count="47">
    <mergeCell ref="A4:I4"/>
    <mergeCell ref="A1:K1"/>
    <mergeCell ref="A2:I2"/>
    <mergeCell ref="J2:K2"/>
    <mergeCell ref="A3:I3"/>
    <mergeCell ref="J3:K3"/>
    <mergeCell ref="J15:K15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J14:K14"/>
    <mergeCell ref="A26:B26"/>
    <mergeCell ref="C26:D26"/>
    <mergeCell ref="E26:H26"/>
    <mergeCell ref="J26:K26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E25:H25"/>
    <mergeCell ref="J25:K25"/>
    <mergeCell ref="A27:B27"/>
    <mergeCell ref="C27:D27"/>
    <mergeCell ref="E27:H27"/>
    <mergeCell ref="J27:K27"/>
    <mergeCell ref="A28:B28"/>
    <mergeCell ref="E28:H28"/>
    <mergeCell ref="J28:K28"/>
    <mergeCell ref="I39:K39"/>
    <mergeCell ref="I40:K40"/>
    <mergeCell ref="A29:H29"/>
    <mergeCell ref="J29:K29"/>
    <mergeCell ref="J30:K30"/>
    <mergeCell ref="A32:K33"/>
    <mergeCell ref="I35:K35"/>
    <mergeCell ref="I36:K3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44"/>
  <sheetViews>
    <sheetView workbookViewId="0">
      <selection activeCell="G37" sqref="G37"/>
    </sheetView>
  </sheetViews>
  <sheetFormatPr baseColWidth="10" defaultRowHeight="15" x14ac:dyDescent="0.25"/>
  <cols>
    <col min="1" max="1" width="7.5703125" style="228" customWidth="1"/>
    <col min="2" max="2" width="5.140625" style="228" customWidth="1"/>
    <col min="3" max="3" width="10" style="228" customWidth="1"/>
    <col min="4" max="4" width="5.28515625" style="228" customWidth="1"/>
    <col min="5" max="5" width="5.42578125" style="228" customWidth="1"/>
    <col min="6" max="6" width="7.42578125" style="228" customWidth="1"/>
    <col min="7" max="7" width="6.28515625" style="228" customWidth="1"/>
    <col min="8" max="8" width="11.140625" style="228" customWidth="1"/>
    <col min="9" max="9" width="13" style="228" customWidth="1"/>
    <col min="10" max="10" width="6" style="228" customWidth="1"/>
    <col min="11" max="11" width="9.7109375" style="228" customWidth="1"/>
  </cols>
  <sheetData>
    <row r="1" spans="1:1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x14ac:dyDescent="0.25">
      <c r="A2" s="429" t="s">
        <v>180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x14ac:dyDescent="0.25">
      <c r="A3" s="429" t="s">
        <v>121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x14ac:dyDescent="0.25">
      <c r="A5" s="406"/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x14ac:dyDescent="0.25">
      <c r="A6" s="415" t="s">
        <v>399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x14ac:dyDescent="0.25">
      <c r="A7" s="66" t="s">
        <v>2</v>
      </c>
      <c r="B7" s="277"/>
      <c r="C7" s="278"/>
      <c r="D7" s="276" t="s">
        <v>6</v>
      </c>
      <c r="E7" s="277"/>
      <c r="F7" s="278"/>
      <c r="G7" s="276" t="s">
        <v>7</v>
      </c>
      <c r="H7" s="278"/>
      <c r="I7" s="418" t="s">
        <v>10</v>
      </c>
      <c r="J7" s="420" t="s">
        <v>33</v>
      </c>
      <c r="K7" s="421"/>
    </row>
    <row r="8" spans="1:1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x14ac:dyDescent="0.25">
      <c r="A9" s="9">
        <v>5</v>
      </c>
      <c r="B9" s="10">
        <v>6</v>
      </c>
      <c r="C9" s="138" t="s">
        <v>322</v>
      </c>
      <c r="D9" s="9">
        <v>5</v>
      </c>
      <c r="E9" s="10">
        <v>6</v>
      </c>
      <c r="F9" s="138" t="s">
        <v>224</v>
      </c>
      <c r="G9" s="12">
        <v>0.5</v>
      </c>
      <c r="H9" s="272">
        <v>84366</v>
      </c>
      <c r="I9" s="14">
        <v>42183</v>
      </c>
      <c r="J9" s="424"/>
      <c r="K9" s="425"/>
    </row>
    <row r="10" spans="1:11" x14ac:dyDescent="0.25">
      <c r="A10" s="9">
        <v>6</v>
      </c>
      <c r="B10" s="10">
        <v>6</v>
      </c>
      <c r="C10" s="138" t="s">
        <v>325</v>
      </c>
      <c r="D10" s="19">
        <v>6</v>
      </c>
      <c r="E10" s="10">
        <v>6</v>
      </c>
      <c r="F10" s="138" t="s">
        <v>75</v>
      </c>
      <c r="G10" s="12">
        <v>0.5</v>
      </c>
      <c r="H10" s="272">
        <v>84366</v>
      </c>
      <c r="I10" s="14">
        <v>42183</v>
      </c>
      <c r="J10" s="424"/>
      <c r="K10" s="425"/>
    </row>
    <row r="11" spans="1:11" x14ac:dyDescent="0.25">
      <c r="A11" s="9">
        <v>6</v>
      </c>
      <c r="B11" s="10">
        <v>6</v>
      </c>
      <c r="C11" s="138" t="s">
        <v>86</v>
      </c>
      <c r="D11" s="9">
        <v>6</v>
      </c>
      <c r="E11" s="10">
        <v>6</v>
      </c>
      <c r="F11" s="138" t="s">
        <v>224</v>
      </c>
      <c r="G11" s="12">
        <v>0.5</v>
      </c>
      <c r="H11" s="272">
        <v>84366</v>
      </c>
      <c r="I11" s="14">
        <v>42183</v>
      </c>
      <c r="J11" s="424"/>
      <c r="K11" s="425"/>
    </row>
    <row r="12" spans="1:11" x14ac:dyDescent="0.25">
      <c r="A12" s="9">
        <v>18</v>
      </c>
      <c r="B12" s="10">
        <v>6</v>
      </c>
      <c r="C12" s="138" t="s">
        <v>359</v>
      </c>
      <c r="D12" s="19">
        <v>18</v>
      </c>
      <c r="E12" s="10">
        <v>6</v>
      </c>
      <c r="F12" s="138" t="s">
        <v>224</v>
      </c>
      <c r="G12" s="12">
        <v>0.5</v>
      </c>
      <c r="H12" s="272">
        <v>84366</v>
      </c>
      <c r="I12" s="14">
        <v>42183</v>
      </c>
      <c r="J12" s="424"/>
      <c r="K12" s="425"/>
    </row>
    <row r="13" spans="1:11" x14ac:dyDescent="0.25">
      <c r="A13" s="23">
        <v>21</v>
      </c>
      <c r="B13" s="10">
        <v>6</v>
      </c>
      <c r="C13" s="138" t="s">
        <v>364</v>
      </c>
      <c r="D13" s="9">
        <v>22</v>
      </c>
      <c r="E13" s="10">
        <v>6</v>
      </c>
      <c r="F13" s="138" t="s">
        <v>365</v>
      </c>
      <c r="G13" s="12">
        <v>0.5</v>
      </c>
      <c r="H13" s="272">
        <v>84366</v>
      </c>
      <c r="I13" s="14">
        <v>42183</v>
      </c>
      <c r="J13" s="424"/>
      <c r="K13" s="425"/>
    </row>
    <row r="14" spans="1:11" x14ac:dyDescent="0.25">
      <c r="A14" s="23">
        <v>21</v>
      </c>
      <c r="B14" s="10">
        <v>6</v>
      </c>
      <c r="C14" s="138" t="s">
        <v>368</v>
      </c>
      <c r="D14" s="19">
        <v>21</v>
      </c>
      <c r="E14" s="10">
        <v>6</v>
      </c>
      <c r="F14" s="138" t="s">
        <v>276</v>
      </c>
      <c r="G14" s="12">
        <v>0.5</v>
      </c>
      <c r="H14" s="272">
        <v>84366</v>
      </c>
      <c r="I14" s="14">
        <v>42183</v>
      </c>
      <c r="J14" s="424"/>
      <c r="K14" s="425"/>
    </row>
    <row r="15" spans="1:11" x14ac:dyDescent="0.25">
      <c r="A15" s="9"/>
      <c r="B15" s="10"/>
      <c r="C15" s="138"/>
      <c r="D15" s="9"/>
      <c r="E15" s="10"/>
      <c r="F15" s="138"/>
      <c r="G15" s="12"/>
      <c r="H15" s="272"/>
      <c r="I15" s="14"/>
      <c r="J15" s="424"/>
      <c r="K15" s="425"/>
    </row>
    <row r="16" spans="1:11" x14ac:dyDescent="0.25">
      <c r="A16" s="9"/>
      <c r="B16" s="10"/>
      <c r="C16" s="138"/>
      <c r="D16" s="24"/>
      <c r="E16" s="10"/>
      <c r="F16" s="138"/>
      <c r="G16" s="12"/>
      <c r="H16" s="272"/>
      <c r="I16" s="14"/>
      <c r="J16" s="411"/>
      <c r="K16" s="412"/>
    </row>
    <row r="17" spans="1:11" x14ac:dyDescent="0.25">
      <c r="A17" s="9"/>
      <c r="B17" s="10"/>
      <c r="C17" s="138"/>
      <c r="D17" s="19"/>
      <c r="E17" s="10"/>
      <c r="F17" s="138"/>
      <c r="G17" s="12"/>
      <c r="H17" s="272"/>
      <c r="I17" s="14"/>
      <c r="J17" s="411"/>
      <c r="K17" s="412"/>
    </row>
    <row r="18" spans="1:1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11"/>
      <c r="K18" s="412"/>
    </row>
    <row r="19" spans="1:1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11"/>
      <c r="K19" s="412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13"/>
      <c r="K20" s="414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11"/>
      <c r="K21" s="412"/>
    </row>
    <row r="22" spans="1:11" x14ac:dyDescent="0.25">
      <c r="A22" s="9"/>
      <c r="B22" s="10"/>
      <c r="C22" s="11"/>
      <c r="D22" s="9"/>
      <c r="E22" s="10"/>
      <c r="F22" s="11"/>
      <c r="G22" s="72"/>
      <c r="H22" s="13"/>
      <c r="I22" s="71"/>
      <c r="J22" s="413"/>
      <c r="K22" s="414"/>
    </row>
    <row r="23" spans="1:11" x14ac:dyDescent="0.25">
      <c r="A23" s="9"/>
      <c r="B23" s="10"/>
      <c r="C23" s="11"/>
      <c r="D23" s="19"/>
      <c r="E23" s="10"/>
      <c r="F23" s="11"/>
      <c r="G23" s="12"/>
      <c r="H23" s="13"/>
      <c r="I23" s="71"/>
      <c r="J23" s="413"/>
      <c r="K23" s="414"/>
    </row>
    <row r="24" spans="1:11" x14ac:dyDescent="0.25">
      <c r="A24" s="29"/>
      <c r="B24" s="29"/>
      <c r="C24" s="30"/>
      <c r="D24" s="29"/>
      <c r="E24" s="29"/>
      <c r="F24" s="30"/>
      <c r="G24" s="12"/>
      <c r="H24" s="13"/>
      <c r="I24" s="14"/>
      <c r="J24" s="400"/>
      <c r="K24" s="401"/>
    </row>
    <row r="25" spans="1:1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x14ac:dyDescent="0.25">
      <c r="A26" s="279" t="s">
        <v>21</v>
      </c>
      <c r="B26" s="74"/>
      <c r="C26" s="94" t="s">
        <v>35</v>
      </c>
      <c r="D26" s="275"/>
      <c r="E26" s="406" t="s">
        <v>36</v>
      </c>
      <c r="F26" s="410"/>
      <c r="G26" s="410"/>
      <c r="H26" s="407"/>
      <c r="I26" s="283"/>
      <c r="J26" s="400"/>
      <c r="K26" s="401"/>
    </row>
    <row r="27" spans="1:11" x14ac:dyDescent="0.25">
      <c r="A27" s="406"/>
      <c r="B27" s="407"/>
      <c r="C27" s="408"/>
      <c r="D27" s="409"/>
      <c r="E27" s="406"/>
      <c r="F27" s="410"/>
      <c r="G27" s="410"/>
      <c r="H27" s="407"/>
      <c r="I27" s="285"/>
      <c r="J27" s="400"/>
      <c r="K27" s="401"/>
    </row>
    <row r="28" spans="1:11" x14ac:dyDescent="0.25">
      <c r="A28" s="403"/>
      <c r="B28" s="404"/>
      <c r="C28" s="403"/>
      <c r="D28" s="404"/>
      <c r="E28" s="403"/>
      <c r="F28" s="405"/>
      <c r="G28" s="405"/>
      <c r="H28" s="404"/>
      <c r="I28" s="78"/>
      <c r="J28" s="400"/>
      <c r="K28" s="401"/>
    </row>
    <row r="29" spans="1:11" x14ac:dyDescent="0.25">
      <c r="A29" s="403"/>
      <c r="B29" s="404"/>
      <c r="C29" s="79"/>
      <c r="D29" s="80"/>
      <c r="E29" s="403"/>
      <c r="F29" s="405"/>
      <c r="G29" s="405"/>
      <c r="H29" s="404"/>
      <c r="I29" s="78"/>
      <c r="J29" s="400"/>
      <c r="K29" s="401"/>
    </row>
    <row r="30" spans="1:11" x14ac:dyDescent="0.25">
      <c r="A30" s="397" t="s">
        <v>37</v>
      </c>
      <c r="B30" s="398"/>
      <c r="C30" s="398"/>
      <c r="D30" s="398"/>
      <c r="E30" s="398"/>
      <c r="F30" s="398"/>
      <c r="G30" s="398"/>
      <c r="H30" s="399"/>
      <c r="I30" s="81">
        <f>SUM(I9:I23)</f>
        <v>253098</v>
      </c>
      <c r="J30" s="400"/>
      <c r="K30" s="401"/>
    </row>
    <row r="31" spans="1:11" x14ac:dyDescent="0.25">
      <c r="A31" s="82"/>
      <c r="B31" s="83"/>
      <c r="C31" s="83"/>
      <c r="D31" s="83"/>
      <c r="E31" s="83"/>
      <c r="F31" s="83"/>
      <c r="G31" s="83"/>
      <c r="H31" s="84"/>
      <c r="I31" s="85"/>
      <c r="J31" s="400"/>
      <c r="K31" s="401"/>
    </row>
    <row r="32" spans="1:11" x14ac:dyDescent="0.25">
      <c r="A32" s="402" t="s">
        <v>407</v>
      </c>
      <c r="B32" s="402"/>
      <c r="C32" s="402"/>
      <c r="D32" s="402"/>
      <c r="E32" s="402"/>
      <c r="F32" s="402"/>
      <c r="G32" s="402"/>
      <c r="H32" s="402"/>
      <c r="I32" s="402"/>
      <c r="J32" s="402"/>
      <c r="K32" s="402"/>
    </row>
    <row r="33" spans="1:11" x14ac:dyDescent="0.25">
      <c r="A33" s="402"/>
      <c r="B33" s="402"/>
      <c r="C33" s="402"/>
      <c r="D33" s="402"/>
      <c r="E33" s="402"/>
      <c r="F33" s="402"/>
      <c r="G33" s="402"/>
      <c r="H33" s="402"/>
      <c r="I33" s="402"/>
      <c r="J33" s="402"/>
      <c r="K33" s="402"/>
    </row>
    <row r="34" spans="1:11" x14ac:dyDescent="0.25">
      <c r="A34" s="87"/>
      <c r="B34" s="86"/>
      <c r="C34" s="86"/>
      <c r="D34" s="86"/>
      <c r="E34" s="86"/>
      <c r="F34" s="86"/>
      <c r="G34" s="86"/>
      <c r="H34" s="86"/>
      <c r="I34" s="86"/>
      <c r="J34" s="280"/>
      <c r="K34" s="280"/>
    </row>
    <row r="35" spans="1:11" x14ac:dyDescent="0.25">
      <c r="A35" s="282"/>
      <c r="B35" s="282"/>
      <c r="C35" s="282"/>
      <c r="D35" s="282"/>
      <c r="E35" s="282"/>
      <c r="F35" s="281"/>
      <c r="G35" s="281"/>
      <c r="H35" s="281"/>
      <c r="I35" s="389" t="s">
        <v>61</v>
      </c>
      <c r="J35" s="389"/>
      <c r="K35" s="389"/>
    </row>
    <row r="36" spans="1:11" x14ac:dyDescent="0.25">
      <c r="A36" s="282"/>
      <c r="B36" s="282"/>
      <c r="C36" s="282"/>
      <c r="D36" s="282"/>
      <c r="E36" s="282"/>
      <c r="F36" s="281"/>
      <c r="G36" s="281"/>
      <c r="H36" s="281"/>
      <c r="I36" s="390" t="s">
        <v>38</v>
      </c>
      <c r="J36" s="390"/>
      <c r="K36" s="390"/>
    </row>
    <row r="37" spans="1:11" x14ac:dyDescent="0.25">
      <c r="A37" s="282"/>
      <c r="B37" s="282"/>
      <c r="C37" s="281"/>
      <c r="D37" s="281"/>
      <c r="E37" s="281"/>
      <c r="F37" s="281"/>
      <c r="G37" s="281"/>
      <c r="H37" s="281"/>
      <c r="I37" s="280"/>
    </row>
    <row r="38" spans="1:11" x14ac:dyDescent="0.25">
      <c r="A38" s="282"/>
      <c r="B38" s="282"/>
      <c r="C38" s="281"/>
      <c r="D38" s="281"/>
      <c r="E38" s="281"/>
      <c r="F38" s="281"/>
      <c r="G38" s="281"/>
      <c r="H38" s="281"/>
      <c r="I38" s="86"/>
    </row>
    <row r="39" spans="1:11" x14ac:dyDescent="0.25">
      <c r="A39" s="286" t="s">
        <v>39</v>
      </c>
      <c r="B39" s="282"/>
      <c r="C39" s="282"/>
      <c r="D39" s="282"/>
      <c r="E39" s="282"/>
      <c r="F39" s="282"/>
      <c r="G39" s="282"/>
      <c r="H39" s="282"/>
      <c r="I39" s="389" t="s">
        <v>62</v>
      </c>
      <c r="J39" s="389"/>
      <c r="K39" s="389"/>
    </row>
    <row r="40" spans="1:11" x14ac:dyDescent="0.25">
      <c r="A40" s="286" t="s">
        <v>404</v>
      </c>
      <c r="B40" s="282"/>
      <c r="C40" s="281"/>
      <c r="D40" s="281"/>
      <c r="E40" s="281"/>
      <c r="F40" s="282"/>
      <c r="G40" s="282"/>
      <c r="H40" s="282"/>
      <c r="I40" s="389" t="s">
        <v>40</v>
      </c>
      <c r="J40" s="389"/>
      <c r="K40" s="389"/>
    </row>
    <row r="41" spans="1:11" x14ac:dyDescent="0.25">
      <c r="A41" s="282"/>
      <c r="B41" s="282"/>
      <c r="C41" s="281"/>
      <c r="D41" s="281"/>
      <c r="E41" s="281"/>
      <c r="F41" s="281"/>
      <c r="G41" s="281"/>
      <c r="H41" s="281"/>
      <c r="I41" s="86"/>
    </row>
    <row r="42" spans="1:11" x14ac:dyDescent="0.25">
      <c r="A42" s="282"/>
      <c r="B42" s="282"/>
      <c r="C42" s="281"/>
      <c r="D42" s="281"/>
      <c r="E42" s="281"/>
      <c r="F42" s="281"/>
      <c r="G42" s="281"/>
      <c r="H42" s="281"/>
    </row>
    <row r="43" spans="1:11" x14ac:dyDescent="0.25">
      <c r="A43" s="86"/>
      <c r="B43" s="86"/>
      <c r="C43" s="86"/>
      <c r="D43" s="86"/>
      <c r="E43" s="86"/>
      <c r="F43" s="86"/>
      <c r="G43" s="86"/>
      <c r="H43" s="86"/>
      <c r="I43" s="280"/>
    </row>
    <row r="44" spans="1:11" x14ac:dyDescent="0.25">
      <c r="A44" s="92"/>
      <c r="B44" s="86"/>
      <c r="C44" s="86"/>
      <c r="D44" s="86"/>
      <c r="E44" s="86"/>
      <c r="F44" s="86"/>
      <c r="G44" s="86"/>
      <c r="H44" s="86"/>
      <c r="I44" s="86"/>
    </row>
  </sheetData>
  <mergeCells count="48">
    <mergeCell ref="A4:I4"/>
    <mergeCell ref="A1:K1"/>
    <mergeCell ref="A2:I2"/>
    <mergeCell ref="J2:K2"/>
    <mergeCell ref="A3:I3"/>
    <mergeCell ref="J3:K3"/>
    <mergeCell ref="J16:K16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J14:K14"/>
    <mergeCell ref="J15:K15"/>
    <mergeCell ref="A27:B27"/>
    <mergeCell ref="C27:D27"/>
    <mergeCell ref="E27:H27"/>
    <mergeCell ref="J27:K27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E26:H26"/>
    <mergeCell ref="J26:K26"/>
    <mergeCell ref="A28:B28"/>
    <mergeCell ref="C28:D28"/>
    <mergeCell ref="E28:H28"/>
    <mergeCell ref="J28:K28"/>
    <mergeCell ref="A29:B29"/>
    <mergeCell ref="E29:H29"/>
    <mergeCell ref="J29:K29"/>
    <mergeCell ref="I39:K39"/>
    <mergeCell ref="I40:K40"/>
    <mergeCell ref="A30:H30"/>
    <mergeCell ref="J30:K30"/>
    <mergeCell ref="J31:K31"/>
    <mergeCell ref="A32:K33"/>
    <mergeCell ref="I35:K35"/>
    <mergeCell ref="I36:K36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45"/>
  <sheetViews>
    <sheetView topLeftCell="A7" workbookViewId="0">
      <selection activeCell="A35" sqref="A35"/>
    </sheetView>
  </sheetViews>
  <sheetFormatPr baseColWidth="10" defaultRowHeight="15" x14ac:dyDescent="0.25"/>
  <cols>
    <col min="1" max="1" width="7.5703125" customWidth="1"/>
    <col min="2" max="2" width="5.140625" customWidth="1"/>
    <col min="3" max="3" width="10" customWidth="1"/>
    <col min="4" max="4" width="5.28515625" customWidth="1"/>
    <col min="5" max="5" width="5.42578125" customWidth="1"/>
    <col min="6" max="6" width="7.42578125" customWidth="1"/>
    <col min="7" max="7" width="6.28515625" customWidth="1"/>
    <col min="8" max="8" width="11.140625" customWidth="1"/>
    <col min="9" max="9" width="13" customWidth="1"/>
    <col min="10" max="10" width="6" customWidth="1"/>
    <col min="11" max="11" width="9.7109375" customWidth="1"/>
  </cols>
  <sheetData>
    <row r="1" spans="1:11" ht="19.5" customHeight="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ht="19.5" customHeight="1" x14ac:dyDescent="0.25">
      <c r="A2" s="429" t="s">
        <v>122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ht="19.5" customHeight="1" x14ac:dyDescent="0.25">
      <c r="A3" s="429" t="s">
        <v>121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ht="19.5" customHeight="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ht="19.5" customHeight="1" x14ac:dyDescent="0.25">
      <c r="A5" s="406"/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ht="19.5" customHeight="1" x14ac:dyDescent="0.25">
      <c r="A6" s="415" t="s">
        <v>399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ht="18" customHeight="1" x14ac:dyDescent="0.25">
      <c r="A7" s="66"/>
      <c r="B7" s="191"/>
      <c r="C7" s="192"/>
      <c r="D7" s="190" t="s">
        <v>6</v>
      </c>
      <c r="E7" s="191"/>
      <c r="F7" s="192"/>
      <c r="G7" s="190" t="s">
        <v>7</v>
      </c>
      <c r="H7" s="192"/>
      <c r="I7" s="418" t="s">
        <v>10</v>
      </c>
      <c r="J7" s="420" t="s">
        <v>33</v>
      </c>
      <c r="K7" s="421"/>
    </row>
    <row r="8" spans="1:11" ht="18" customHeight="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ht="18" customHeight="1" x14ac:dyDescent="0.25">
      <c r="A9" s="229">
        <v>2</v>
      </c>
      <c r="B9" s="10">
        <v>6</v>
      </c>
      <c r="C9" s="229">
        <v>8</v>
      </c>
      <c r="D9" s="19">
        <v>3</v>
      </c>
      <c r="E9" s="10">
        <v>5</v>
      </c>
      <c r="F9" s="139" t="s">
        <v>312</v>
      </c>
      <c r="G9" s="12">
        <v>0.5</v>
      </c>
      <c r="H9" s="272">
        <v>84366</v>
      </c>
      <c r="I9" s="14">
        <v>42183</v>
      </c>
      <c r="J9" s="424"/>
      <c r="K9" s="425"/>
    </row>
    <row r="10" spans="1:11" ht="18" customHeight="1" x14ac:dyDescent="0.25">
      <c r="A10" s="9">
        <v>9</v>
      </c>
      <c r="B10" s="10">
        <v>6</v>
      </c>
      <c r="C10" s="138" t="s">
        <v>74</v>
      </c>
      <c r="D10" s="19">
        <v>9</v>
      </c>
      <c r="E10" s="10">
        <v>6</v>
      </c>
      <c r="F10" s="138" t="s">
        <v>341</v>
      </c>
      <c r="G10" s="12">
        <v>0.5</v>
      </c>
      <c r="H10" s="272">
        <v>84366</v>
      </c>
      <c r="I10" s="14">
        <v>42183</v>
      </c>
      <c r="J10" s="424"/>
      <c r="K10" s="425"/>
    </row>
    <row r="11" spans="1:11" ht="18" customHeight="1" x14ac:dyDescent="0.25">
      <c r="A11" s="9">
        <v>16</v>
      </c>
      <c r="B11" s="10">
        <v>6</v>
      </c>
      <c r="C11" s="138" t="s">
        <v>351</v>
      </c>
      <c r="D11" s="19">
        <v>16</v>
      </c>
      <c r="E11" s="10">
        <v>6</v>
      </c>
      <c r="F11" s="138" t="s">
        <v>352</v>
      </c>
      <c r="G11" s="12">
        <v>0.5</v>
      </c>
      <c r="H11" s="272">
        <v>84366</v>
      </c>
      <c r="I11" s="14">
        <v>42183</v>
      </c>
      <c r="J11" s="424"/>
      <c r="K11" s="425"/>
    </row>
    <row r="12" spans="1:11" ht="18" customHeight="1" x14ac:dyDescent="0.25">
      <c r="A12" s="9">
        <v>22</v>
      </c>
      <c r="B12" s="10">
        <v>6</v>
      </c>
      <c r="C12" s="138" t="s">
        <v>350</v>
      </c>
      <c r="D12" s="19">
        <v>22</v>
      </c>
      <c r="E12" s="10">
        <v>6</v>
      </c>
      <c r="F12" s="138" t="s">
        <v>269</v>
      </c>
      <c r="G12" s="12">
        <v>0.5</v>
      </c>
      <c r="H12" s="272">
        <v>84366</v>
      </c>
      <c r="I12" s="14">
        <v>42183</v>
      </c>
      <c r="J12" s="424"/>
      <c r="K12" s="425"/>
    </row>
    <row r="13" spans="1:11" ht="18" customHeight="1" x14ac:dyDescent="0.25">
      <c r="A13" s="9"/>
      <c r="B13" s="10"/>
      <c r="C13" s="138"/>
      <c r="D13" s="19"/>
      <c r="E13" s="10"/>
      <c r="F13" s="138"/>
      <c r="G13" s="12"/>
      <c r="H13" s="272"/>
      <c r="I13" s="14"/>
      <c r="J13" s="424"/>
      <c r="K13" s="425"/>
    </row>
    <row r="14" spans="1:11" ht="18" customHeight="1" x14ac:dyDescent="0.25">
      <c r="A14" s="229"/>
      <c r="B14" s="10"/>
      <c r="C14" s="229"/>
      <c r="D14" s="19"/>
      <c r="E14" s="10"/>
      <c r="F14" s="139"/>
      <c r="G14" s="12"/>
      <c r="H14" s="272"/>
      <c r="I14" s="14"/>
      <c r="J14" s="424"/>
      <c r="K14" s="425"/>
    </row>
    <row r="15" spans="1:11" ht="18" customHeight="1" x14ac:dyDescent="0.25">
      <c r="A15" s="9"/>
      <c r="B15" s="10"/>
      <c r="C15" s="138"/>
      <c r="D15" s="9"/>
      <c r="E15" s="10"/>
      <c r="F15" s="138"/>
      <c r="G15" s="12"/>
      <c r="H15" s="272"/>
      <c r="I15" s="14"/>
      <c r="J15" s="424"/>
      <c r="K15" s="425"/>
    </row>
    <row r="16" spans="1:11" ht="18" customHeight="1" x14ac:dyDescent="0.25">
      <c r="A16" s="9"/>
      <c r="B16" s="10"/>
      <c r="C16" s="138"/>
      <c r="D16" s="24"/>
      <c r="E16" s="10"/>
      <c r="F16" s="138"/>
      <c r="G16" s="12"/>
      <c r="H16" s="272"/>
      <c r="I16" s="14"/>
      <c r="J16" s="411"/>
      <c r="K16" s="412"/>
    </row>
    <row r="17" spans="1:11" ht="18" customHeight="1" x14ac:dyDescent="0.25">
      <c r="A17" s="9"/>
      <c r="B17" s="10"/>
      <c r="C17" s="138"/>
      <c r="D17" s="19"/>
      <c r="E17" s="10"/>
      <c r="F17" s="138"/>
      <c r="G17" s="12"/>
      <c r="H17" s="272"/>
      <c r="I17" s="14"/>
      <c r="J17" s="411"/>
      <c r="K17" s="412"/>
    </row>
    <row r="18" spans="1:11" ht="18" customHeight="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11"/>
      <c r="K18" s="412"/>
    </row>
    <row r="19" spans="1:11" ht="18" customHeight="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11"/>
      <c r="K19" s="412"/>
    </row>
    <row r="20" spans="1:11" ht="18" customHeight="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13"/>
      <c r="K20" s="414"/>
    </row>
    <row r="21" spans="1:11" ht="18" customHeight="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11"/>
      <c r="K21" s="412"/>
    </row>
    <row r="22" spans="1:11" ht="18" customHeight="1" x14ac:dyDescent="0.25">
      <c r="A22" s="9"/>
      <c r="B22" s="10"/>
      <c r="C22" s="11"/>
      <c r="D22" s="9"/>
      <c r="E22" s="10"/>
      <c r="F22" s="11"/>
      <c r="G22" s="72"/>
      <c r="H22" s="13"/>
      <c r="I22" s="71"/>
      <c r="J22" s="413"/>
      <c r="K22" s="414"/>
    </row>
    <row r="23" spans="1:11" ht="18" customHeight="1" x14ac:dyDescent="0.25">
      <c r="A23" s="9"/>
      <c r="B23" s="10"/>
      <c r="C23" s="11"/>
      <c r="D23" s="19"/>
      <c r="E23" s="10"/>
      <c r="F23" s="11"/>
      <c r="G23" s="12"/>
      <c r="H23" s="13"/>
      <c r="I23" s="71"/>
      <c r="J23" s="413"/>
      <c r="K23" s="414"/>
    </row>
    <row r="24" spans="1:11" ht="18" customHeight="1" x14ac:dyDescent="0.25">
      <c r="A24" s="29"/>
      <c r="B24" s="29"/>
      <c r="C24" s="30"/>
      <c r="D24" s="29"/>
      <c r="E24" s="29"/>
      <c r="F24" s="30"/>
      <c r="G24" s="12"/>
      <c r="H24" s="13"/>
      <c r="I24" s="14"/>
      <c r="J24" s="400"/>
      <c r="K24" s="401"/>
    </row>
    <row r="25" spans="1:11" ht="18" customHeight="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ht="18" customHeight="1" x14ac:dyDescent="0.25">
      <c r="A26" s="188" t="s">
        <v>21</v>
      </c>
      <c r="B26" s="74"/>
      <c r="C26" s="94" t="s">
        <v>35</v>
      </c>
      <c r="D26" s="189"/>
      <c r="E26" s="406" t="s">
        <v>36</v>
      </c>
      <c r="F26" s="410"/>
      <c r="G26" s="410"/>
      <c r="H26" s="407"/>
      <c r="I26" s="195"/>
      <c r="J26" s="400"/>
      <c r="K26" s="401"/>
    </row>
    <row r="27" spans="1:11" ht="18" customHeight="1" x14ac:dyDescent="0.25">
      <c r="A27" s="406"/>
      <c r="B27" s="407"/>
      <c r="C27" s="408"/>
      <c r="D27" s="409"/>
      <c r="E27" s="406"/>
      <c r="F27" s="410"/>
      <c r="G27" s="410"/>
      <c r="H27" s="407"/>
      <c r="I27" s="196"/>
      <c r="J27" s="400"/>
      <c r="K27" s="401"/>
    </row>
    <row r="28" spans="1:11" ht="18" customHeight="1" x14ac:dyDescent="0.25">
      <c r="A28" s="403"/>
      <c r="B28" s="404"/>
      <c r="C28" s="403"/>
      <c r="D28" s="404"/>
      <c r="E28" s="403"/>
      <c r="F28" s="405"/>
      <c r="G28" s="405"/>
      <c r="H28" s="404"/>
      <c r="I28" s="78"/>
      <c r="J28" s="400"/>
      <c r="K28" s="401"/>
    </row>
    <row r="29" spans="1:11" ht="18" customHeight="1" x14ac:dyDescent="0.25">
      <c r="A29" s="403"/>
      <c r="B29" s="404"/>
      <c r="C29" s="79"/>
      <c r="D29" s="80"/>
      <c r="E29" s="403"/>
      <c r="F29" s="405"/>
      <c r="G29" s="405"/>
      <c r="H29" s="404"/>
      <c r="I29" s="78"/>
      <c r="J29" s="400"/>
      <c r="K29" s="401"/>
    </row>
    <row r="30" spans="1:11" ht="18" customHeight="1" x14ac:dyDescent="0.25">
      <c r="A30" s="397" t="s">
        <v>37</v>
      </c>
      <c r="B30" s="398"/>
      <c r="C30" s="398"/>
      <c r="D30" s="398"/>
      <c r="E30" s="398"/>
      <c r="F30" s="398"/>
      <c r="G30" s="398"/>
      <c r="H30" s="399"/>
      <c r="I30" s="81">
        <f>SUM(I9:I23)</f>
        <v>168732</v>
      </c>
      <c r="J30" s="400"/>
      <c r="K30" s="401"/>
    </row>
    <row r="31" spans="1:11" ht="18" customHeight="1" x14ac:dyDescent="0.25">
      <c r="A31" s="82"/>
      <c r="B31" s="83"/>
      <c r="C31" s="83"/>
      <c r="D31" s="83"/>
      <c r="E31" s="83"/>
      <c r="F31" s="83"/>
      <c r="G31" s="83"/>
      <c r="H31" s="84"/>
      <c r="I31" s="85"/>
      <c r="J31" s="400"/>
      <c r="K31" s="401"/>
    </row>
    <row r="32" spans="1:11" ht="18" customHeight="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  <row r="33" spans="1:11" ht="18" customHeight="1" x14ac:dyDescent="0.25">
      <c r="A33" s="402" t="s">
        <v>402</v>
      </c>
      <c r="B33" s="402"/>
      <c r="C33" s="402"/>
      <c r="D33" s="402"/>
      <c r="E33" s="402"/>
      <c r="F33" s="402"/>
      <c r="G33" s="402"/>
      <c r="H33" s="402"/>
      <c r="I33" s="402"/>
      <c r="J33" s="402"/>
      <c r="K33" s="402"/>
    </row>
    <row r="34" spans="1:11" ht="18" customHeight="1" x14ac:dyDescent="0.25">
      <c r="A34" s="402"/>
      <c r="B34" s="402"/>
      <c r="C34" s="402"/>
      <c r="D34" s="402"/>
      <c r="E34" s="402"/>
      <c r="F34" s="402"/>
      <c r="G34" s="402"/>
      <c r="H34" s="402"/>
      <c r="I34" s="402"/>
      <c r="J34" s="402"/>
      <c r="K34" s="402"/>
    </row>
    <row r="35" spans="1:11" ht="18" customHeight="1" x14ac:dyDescent="0.25">
      <c r="A35" s="87"/>
      <c r="B35" s="86"/>
      <c r="C35" s="86"/>
      <c r="D35" s="86"/>
      <c r="E35" s="86"/>
      <c r="F35" s="86"/>
      <c r="G35" s="86"/>
      <c r="H35" s="86"/>
      <c r="I35" s="86"/>
      <c r="J35" s="187"/>
      <c r="K35" s="187"/>
    </row>
    <row r="36" spans="1:11" ht="18" customHeight="1" x14ac:dyDescent="0.25">
      <c r="A36" s="194"/>
      <c r="B36" s="194"/>
      <c r="C36" s="194"/>
      <c r="D36" s="194"/>
      <c r="E36" s="194"/>
      <c r="F36" s="193"/>
      <c r="G36" s="193"/>
      <c r="H36" s="193"/>
      <c r="I36" s="389" t="s">
        <v>61</v>
      </c>
      <c r="J36" s="389"/>
      <c r="K36" s="389"/>
    </row>
    <row r="37" spans="1:11" ht="18" customHeight="1" x14ac:dyDescent="0.25">
      <c r="A37" s="194"/>
      <c r="B37" s="194"/>
      <c r="C37" s="194"/>
      <c r="D37" s="194"/>
      <c r="E37" s="194"/>
      <c r="F37" s="193"/>
      <c r="G37" s="193"/>
      <c r="H37" s="193"/>
      <c r="I37" s="390" t="s">
        <v>38</v>
      </c>
      <c r="J37" s="390"/>
      <c r="K37" s="390"/>
    </row>
    <row r="38" spans="1:11" ht="18" customHeight="1" x14ac:dyDescent="0.25">
      <c r="A38" s="194"/>
      <c r="B38" s="194"/>
      <c r="C38" s="193"/>
      <c r="D38" s="193"/>
      <c r="E38" s="193"/>
      <c r="F38" s="193"/>
      <c r="G38" s="193"/>
      <c r="H38" s="193"/>
      <c r="I38" s="187"/>
    </row>
    <row r="39" spans="1:11" ht="18" customHeight="1" x14ac:dyDescent="0.25">
      <c r="A39" s="295" t="s">
        <v>39</v>
      </c>
      <c r="B39" s="194"/>
      <c r="C39" s="193"/>
      <c r="D39" s="193"/>
      <c r="E39" s="193"/>
      <c r="F39" s="193"/>
      <c r="G39" s="193"/>
      <c r="H39" s="193"/>
      <c r="I39" s="86"/>
    </row>
    <row r="40" spans="1:11" ht="18" customHeight="1" x14ac:dyDescent="0.25">
      <c r="A40" s="197" t="s">
        <v>400</v>
      </c>
      <c r="B40" s="194"/>
      <c r="C40" s="193"/>
      <c r="D40" s="193"/>
      <c r="E40" s="193"/>
      <c r="F40" s="194"/>
      <c r="G40" s="194"/>
      <c r="H40" s="194"/>
      <c r="I40" s="389" t="s">
        <v>40</v>
      </c>
      <c r="J40" s="389"/>
      <c r="K40" s="389"/>
    </row>
    <row r="42" spans="1:11" ht="18" customHeight="1" x14ac:dyDescent="0.25">
      <c r="A42" s="194"/>
      <c r="B42" s="194"/>
      <c r="C42" s="193"/>
      <c r="D42" s="193"/>
      <c r="E42" s="193"/>
      <c r="F42" s="193"/>
      <c r="G42" s="193"/>
      <c r="H42" s="193"/>
      <c r="I42" s="86"/>
    </row>
    <row r="43" spans="1:11" ht="18" customHeight="1" x14ac:dyDescent="0.25">
      <c r="A43" s="194"/>
      <c r="B43" s="194"/>
      <c r="C43" s="193"/>
      <c r="D43" s="193"/>
      <c r="E43" s="193"/>
      <c r="F43" s="193"/>
      <c r="G43" s="193"/>
      <c r="H43" s="193"/>
    </row>
    <row r="44" spans="1:11" ht="18" customHeight="1" x14ac:dyDescent="0.25">
      <c r="A44" s="86"/>
      <c r="B44" s="86"/>
      <c r="C44" s="86"/>
      <c r="D44" s="86"/>
      <c r="E44" s="86"/>
      <c r="F44" s="86"/>
      <c r="G44" s="86"/>
      <c r="H44" s="86"/>
      <c r="I44" s="187"/>
    </row>
    <row r="45" spans="1:11" ht="18" customHeight="1" x14ac:dyDescent="0.25">
      <c r="A45" s="92"/>
      <c r="B45" s="86"/>
      <c r="C45" s="86"/>
      <c r="D45" s="86"/>
      <c r="E45" s="86"/>
      <c r="F45" s="86"/>
      <c r="G45" s="86"/>
      <c r="H45" s="86"/>
      <c r="I45" s="86"/>
    </row>
  </sheetData>
  <mergeCells count="47">
    <mergeCell ref="A4:I4"/>
    <mergeCell ref="A1:K1"/>
    <mergeCell ref="A2:I2"/>
    <mergeCell ref="J2:K2"/>
    <mergeCell ref="A3:I3"/>
    <mergeCell ref="J3:K3"/>
    <mergeCell ref="J16:K16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J14:K14"/>
    <mergeCell ref="J15:K15"/>
    <mergeCell ref="A27:B27"/>
    <mergeCell ref="C27:D27"/>
    <mergeCell ref="E27:H27"/>
    <mergeCell ref="J27:K27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E26:H26"/>
    <mergeCell ref="J26:K26"/>
    <mergeCell ref="A28:B28"/>
    <mergeCell ref="C28:D28"/>
    <mergeCell ref="E28:H28"/>
    <mergeCell ref="J28:K28"/>
    <mergeCell ref="A29:B29"/>
    <mergeCell ref="E29:H29"/>
    <mergeCell ref="J29:K29"/>
    <mergeCell ref="I40:K40"/>
    <mergeCell ref="A30:H30"/>
    <mergeCell ref="J30:K30"/>
    <mergeCell ref="J31:K31"/>
    <mergeCell ref="A33:K34"/>
    <mergeCell ref="I36:K36"/>
    <mergeCell ref="I37:K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45"/>
  <sheetViews>
    <sheetView topLeftCell="A19" workbookViewId="0">
      <selection activeCell="B40" sqref="A40:XFD40"/>
    </sheetView>
  </sheetViews>
  <sheetFormatPr baseColWidth="10" defaultRowHeight="15" x14ac:dyDescent="0.25"/>
  <cols>
    <col min="1" max="1" width="7.5703125" style="228" customWidth="1"/>
    <col min="2" max="2" width="5.140625" style="228" customWidth="1"/>
    <col min="3" max="3" width="10" style="228" customWidth="1"/>
    <col min="4" max="4" width="5.28515625" style="228" customWidth="1"/>
    <col min="5" max="5" width="5.42578125" style="228" customWidth="1"/>
    <col min="6" max="6" width="7.42578125" style="228" customWidth="1"/>
    <col min="7" max="7" width="6.28515625" style="228" customWidth="1"/>
    <col min="8" max="8" width="11.140625" style="228" customWidth="1"/>
    <col min="9" max="9" width="13" style="228" customWidth="1"/>
    <col min="10" max="10" width="6" style="228" customWidth="1"/>
    <col min="11" max="11" width="9.7109375" style="228" customWidth="1"/>
  </cols>
  <sheetData>
    <row r="1" spans="1:1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x14ac:dyDescent="0.25">
      <c r="A2" s="429" t="s">
        <v>299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x14ac:dyDescent="0.25">
      <c r="A3" s="429" t="s">
        <v>121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x14ac:dyDescent="0.25">
      <c r="A5" s="406"/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x14ac:dyDescent="0.25">
      <c r="A6" s="415" t="s">
        <v>290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x14ac:dyDescent="0.25">
      <c r="A7" s="66" t="s">
        <v>2</v>
      </c>
      <c r="B7" s="306"/>
      <c r="C7" s="307"/>
      <c r="D7" s="305" t="s">
        <v>6</v>
      </c>
      <c r="E7" s="306"/>
      <c r="F7" s="307"/>
      <c r="G7" s="305" t="s">
        <v>7</v>
      </c>
      <c r="H7" s="307"/>
      <c r="I7" s="418" t="s">
        <v>10</v>
      </c>
      <c r="J7" s="420" t="s">
        <v>33</v>
      </c>
      <c r="K7" s="421"/>
    </row>
    <row r="8" spans="1:1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x14ac:dyDescent="0.25">
      <c r="A9" s="9">
        <v>6</v>
      </c>
      <c r="B9" s="10">
        <v>5</v>
      </c>
      <c r="C9" s="138" t="s">
        <v>273</v>
      </c>
      <c r="D9" s="19">
        <v>6</v>
      </c>
      <c r="E9" s="10">
        <v>5</v>
      </c>
      <c r="F9" s="138" t="s">
        <v>274</v>
      </c>
      <c r="G9" s="12">
        <v>0.5</v>
      </c>
      <c r="H9" s="272">
        <v>83166</v>
      </c>
      <c r="I9" s="14">
        <f t="shared" ref="I9" si="0">H9*G9</f>
        <v>41583</v>
      </c>
      <c r="J9" s="424"/>
      <c r="K9" s="425"/>
    </row>
    <row r="10" spans="1:11" x14ac:dyDescent="0.25">
      <c r="A10" s="244"/>
      <c r="B10" s="10"/>
      <c r="C10" s="245"/>
      <c r="D10" s="246"/>
      <c r="E10" s="10"/>
      <c r="F10" s="245"/>
      <c r="G10" s="247"/>
      <c r="H10" s="272"/>
      <c r="I10" s="248"/>
      <c r="J10" s="424"/>
      <c r="K10" s="425"/>
    </row>
    <row r="11" spans="1:11" x14ac:dyDescent="0.25">
      <c r="A11" s="9"/>
      <c r="B11" s="10"/>
      <c r="C11" s="138"/>
      <c r="D11" s="9"/>
      <c r="E11" s="10"/>
      <c r="F11" s="139"/>
      <c r="G11" s="12"/>
      <c r="H11" s="272"/>
      <c r="I11" s="14"/>
      <c r="J11" s="424"/>
      <c r="K11" s="425"/>
    </row>
    <row r="12" spans="1:11" x14ac:dyDescent="0.25">
      <c r="A12" s="9"/>
      <c r="B12" s="10"/>
      <c r="C12" s="138"/>
      <c r="D12" s="9"/>
      <c r="E12" s="10"/>
      <c r="F12" s="138"/>
      <c r="G12" s="12"/>
      <c r="H12" s="272"/>
      <c r="I12" s="14"/>
      <c r="J12" s="424"/>
      <c r="K12" s="425"/>
    </row>
    <row r="13" spans="1:11" x14ac:dyDescent="0.25">
      <c r="A13" s="9"/>
      <c r="B13" s="10"/>
      <c r="C13" s="138"/>
      <c r="D13" s="9"/>
      <c r="E13" s="10"/>
      <c r="F13" s="138"/>
      <c r="G13" s="12"/>
      <c r="H13" s="272"/>
      <c r="I13" s="14"/>
      <c r="J13" s="424"/>
      <c r="K13" s="425"/>
    </row>
    <row r="14" spans="1:11" x14ac:dyDescent="0.25">
      <c r="A14" s="9"/>
      <c r="B14" s="10"/>
      <c r="C14" s="138"/>
      <c r="D14" s="19"/>
      <c r="E14" s="10"/>
      <c r="F14" s="138"/>
      <c r="G14" s="12"/>
      <c r="H14" s="272"/>
      <c r="I14" s="14"/>
      <c r="J14" s="424"/>
      <c r="K14" s="425"/>
    </row>
    <row r="15" spans="1:11" x14ac:dyDescent="0.25">
      <c r="A15" s="9"/>
      <c r="B15" s="10"/>
      <c r="C15" s="138"/>
      <c r="D15" s="19"/>
      <c r="E15" s="10"/>
      <c r="F15" s="138"/>
      <c r="G15" s="12"/>
      <c r="H15" s="272"/>
      <c r="I15" s="14"/>
      <c r="J15" s="424"/>
      <c r="K15" s="425"/>
    </row>
    <row r="16" spans="1:11" x14ac:dyDescent="0.25">
      <c r="A16" s="9"/>
      <c r="B16" s="10"/>
      <c r="C16" s="138"/>
      <c r="D16" s="19"/>
      <c r="E16" s="10"/>
      <c r="F16" s="138"/>
      <c r="G16" s="12"/>
      <c r="H16" s="272"/>
      <c r="I16" s="14"/>
      <c r="J16" s="411"/>
      <c r="K16" s="412"/>
    </row>
    <row r="17" spans="1:11" x14ac:dyDescent="0.25">
      <c r="A17" s="9"/>
      <c r="B17" s="10"/>
      <c r="C17" s="138"/>
      <c r="D17" s="19"/>
      <c r="E17" s="10"/>
      <c r="F17" s="138"/>
      <c r="G17" s="12"/>
      <c r="H17" s="272"/>
      <c r="I17" s="14"/>
      <c r="J17" s="411"/>
      <c r="K17" s="412"/>
    </row>
    <row r="18" spans="1:11" x14ac:dyDescent="0.25">
      <c r="A18" s="9"/>
      <c r="B18" s="10"/>
      <c r="C18" s="138"/>
      <c r="D18" s="19"/>
      <c r="E18" s="10"/>
      <c r="F18" s="138"/>
      <c r="G18" s="12"/>
      <c r="H18" s="272"/>
      <c r="I18" s="14"/>
      <c r="J18" s="411"/>
      <c r="K18" s="412"/>
    </row>
    <row r="19" spans="1:11" x14ac:dyDescent="0.25">
      <c r="A19" s="9"/>
      <c r="B19" s="10"/>
      <c r="C19" s="138"/>
      <c r="D19" s="19"/>
      <c r="E19" s="10"/>
      <c r="F19" s="138"/>
      <c r="G19" s="12"/>
      <c r="H19" s="272"/>
      <c r="I19" s="14"/>
      <c r="J19" s="411"/>
      <c r="K19" s="412"/>
    </row>
    <row r="20" spans="1:11" x14ac:dyDescent="0.25">
      <c r="A20" s="9"/>
      <c r="B20" s="10"/>
      <c r="C20" s="138"/>
      <c r="D20" s="19"/>
      <c r="E20" s="10"/>
      <c r="F20" s="138"/>
      <c r="G20" s="12"/>
      <c r="H20" s="272"/>
      <c r="I20" s="14"/>
      <c r="J20" s="413"/>
      <c r="K20" s="414"/>
    </row>
    <row r="21" spans="1:11" x14ac:dyDescent="0.25">
      <c r="A21" s="9"/>
      <c r="B21" s="10"/>
      <c r="C21" s="138"/>
      <c r="D21" s="19"/>
      <c r="E21" s="10"/>
      <c r="F21" s="138"/>
      <c r="G21" s="12"/>
      <c r="H21" s="272"/>
      <c r="I21" s="14"/>
      <c r="J21" s="411"/>
      <c r="K21" s="412"/>
    </row>
    <row r="22" spans="1:11" x14ac:dyDescent="0.25">
      <c r="A22" s="9"/>
      <c r="B22" s="10"/>
      <c r="C22" s="138"/>
      <c r="D22" s="9"/>
      <c r="E22" s="10"/>
      <c r="F22" s="138"/>
      <c r="G22" s="12"/>
      <c r="H22" s="272"/>
      <c r="I22" s="14"/>
      <c r="J22" s="413"/>
      <c r="K22" s="414"/>
    </row>
    <row r="23" spans="1:11" x14ac:dyDescent="0.25">
      <c r="A23" s="9"/>
      <c r="B23" s="10"/>
      <c r="C23" s="11"/>
      <c r="D23" s="19"/>
      <c r="E23" s="10"/>
      <c r="F23" s="11"/>
      <c r="G23" s="12"/>
      <c r="H23" s="13"/>
      <c r="I23" s="71"/>
      <c r="J23" s="413"/>
      <c r="K23" s="414"/>
    </row>
    <row r="24" spans="1:11" x14ac:dyDescent="0.25">
      <c r="A24" s="29"/>
      <c r="B24" s="29"/>
      <c r="C24" s="30"/>
      <c r="D24" s="29"/>
      <c r="E24" s="29"/>
      <c r="F24" s="30"/>
      <c r="G24" s="12"/>
      <c r="H24" s="13"/>
      <c r="I24" s="14"/>
      <c r="J24" s="400"/>
      <c r="K24" s="401"/>
    </row>
    <row r="25" spans="1:1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x14ac:dyDescent="0.25">
      <c r="A26" s="308" t="s">
        <v>21</v>
      </c>
      <c r="B26" s="74"/>
      <c r="C26" s="94" t="s">
        <v>35</v>
      </c>
      <c r="D26" s="304"/>
      <c r="E26" s="406" t="s">
        <v>36</v>
      </c>
      <c r="F26" s="410"/>
      <c r="G26" s="410"/>
      <c r="H26" s="407"/>
      <c r="I26" s="312"/>
      <c r="J26" s="400"/>
      <c r="K26" s="401"/>
    </row>
    <row r="27" spans="1:11" x14ac:dyDescent="0.25">
      <c r="A27" s="406"/>
      <c r="B27" s="407"/>
      <c r="C27" s="408"/>
      <c r="D27" s="409"/>
      <c r="E27" s="406"/>
      <c r="F27" s="410"/>
      <c r="G27" s="410"/>
      <c r="H27" s="407"/>
      <c r="I27" s="314"/>
      <c r="J27" s="400"/>
      <c r="K27" s="401"/>
    </row>
    <row r="28" spans="1:11" x14ac:dyDescent="0.25">
      <c r="A28" s="403"/>
      <c r="B28" s="404"/>
      <c r="C28" s="403"/>
      <c r="D28" s="404"/>
      <c r="E28" s="403"/>
      <c r="F28" s="405"/>
      <c r="G28" s="405"/>
      <c r="H28" s="404"/>
      <c r="I28" s="78"/>
      <c r="J28" s="400"/>
      <c r="K28" s="401"/>
    </row>
    <row r="29" spans="1:11" x14ac:dyDescent="0.25">
      <c r="A29" s="403"/>
      <c r="B29" s="404"/>
      <c r="C29" s="79"/>
      <c r="D29" s="80"/>
      <c r="E29" s="403"/>
      <c r="F29" s="405"/>
      <c r="G29" s="405"/>
      <c r="H29" s="404"/>
      <c r="I29" s="78"/>
      <c r="J29" s="400"/>
      <c r="K29" s="401"/>
    </row>
    <row r="30" spans="1:11" x14ac:dyDescent="0.25">
      <c r="A30" s="397" t="s">
        <v>37</v>
      </c>
      <c r="B30" s="398"/>
      <c r="C30" s="398"/>
      <c r="D30" s="398"/>
      <c r="E30" s="398"/>
      <c r="F30" s="398"/>
      <c r="G30" s="398"/>
      <c r="H30" s="399"/>
      <c r="I30" s="81">
        <f>SUM(I9:I23)</f>
        <v>41583</v>
      </c>
      <c r="J30" s="400"/>
      <c r="K30" s="401"/>
    </row>
    <row r="31" spans="1:11" x14ac:dyDescent="0.25">
      <c r="A31" s="82"/>
      <c r="B31" s="83"/>
      <c r="C31" s="83"/>
      <c r="D31" s="83"/>
      <c r="E31" s="83"/>
      <c r="F31" s="83"/>
      <c r="G31" s="83"/>
      <c r="H31" s="84"/>
      <c r="I31" s="85"/>
      <c r="J31" s="400"/>
      <c r="K31" s="401"/>
    </row>
    <row r="32" spans="1:1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  <row r="33" spans="1:11" x14ac:dyDescent="0.25">
      <c r="A33" s="402" t="s">
        <v>300</v>
      </c>
      <c r="B33" s="402"/>
      <c r="C33" s="402"/>
      <c r="D33" s="402"/>
      <c r="E33" s="402"/>
      <c r="F33" s="402"/>
      <c r="G33" s="402"/>
      <c r="H33" s="402"/>
      <c r="I33" s="402"/>
      <c r="J33" s="402"/>
      <c r="K33" s="402"/>
    </row>
    <row r="34" spans="1:11" x14ac:dyDescent="0.25">
      <c r="A34" s="402"/>
      <c r="B34" s="402"/>
      <c r="C34" s="402"/>
      <c r="D34" s="402"/>
      <c r="E34" s="402"/>
      <c r="F34" s="402"/>
      <c r="G34" s="402"/>
      <c r="H34" s="402"/>
      <c r="I34" s="402"/>
      <c r="J34" s="402"/>
      <c r="K34" s="402"/>
    </row>
    <row r="35" spans="1:11" x14ac:dyDescent="0.25">
      <c r="A35" s="87"/>
      <c r="B35" s="86"/>
      <c r="C35" s="86"/>
      <c r="D35" s="86"/>
      <c r="E35" s="86"/>
      <c r="F35" s="86"/>
      <c r="G35" s="86"/>
      <c r="H35" s="86"/>
      <c r="I35" s="86"/>
      <c r="J35" s="309"/>
      <c r="K35" s="309"/>
    </row>
    <row r="36" spans="1:11" x14ac:dyDescent="0.25">
      <c r="A36" s="311"/>
      <c r="B36" s="311"/>
      <c r="C36" s="311"/>
      <c r="D36" s="311"/>
      <c r="E36" s="311"/>
      <c r="F36" s="310"/>
      <c r="G36" s="310"/>
      <c r="H36" s="310"/>
      <c r="I36" s="389" t="s">
        <v>61</v>
      </c>
      <c r="J36" s="389"/>
      <c r="K36" s="389"/>
    </row>
    <row r="37" spans="1:11" x14ac:dyDescent="0.25">
      <c r="A37" s="311"/>
      <c r="B37" s="311"/>
      <c r="C37" s="311"/>
      <c r="D37" s="311"/>
      <c r="E37" s="311"/>
      <c r="F37" s="310"/>
      <c r="G37" s="310"/>
      <c r="H37" s="310"/>
      <c r="I37" s="390" t="s">
        <v>38</v>
      </c>
      <c r="J37" s="390"/>
      <c r="K37" s="390"/>
    </row>
    <row r="38" spans="1:11" x14ac:dyDescent="0.25">
      <c r="A38" s="311"/>
      <c r="B38" s="311"/>
      <c r="C38" s="310"/>
      <c r="D38" s="310"/>
      <c r="E38" s="310"/>
      <c r="F38" s="310"/>
      <c r="G38" s="310"/>
      <c r="H38" s="310"/>
      <c r="I38" s="309"/>
    </row>
    <row r="39" spans="1:11" x14ac:dyDescent="0.25">
      <c r="A39" s="311" t="s">
        <v>39</v>
      </c>
      <c r="B39" s="311"/>
      <c r="C39" s="310"/>
      <c r="D39" s="310"/>
      <c r="E39" s="310"/>
      <c r="F39" s="310"/>
      <c r="G39" s="310"/>
      <c r="H39" s="310"/>
      <c r="I39" s="86"/>
    </row>
    <row r="40" spans="1:11" x14ac:dyDescent="0.25">
      <c r="A40" s="315" t="s">
        <v>291</v>
      </c>
      <c r="B40" s="311"/>
      <c r="C40" s="310"/>
      <c r="D40" s="310"/>
      <c r="E40" s="310"/>
      <c r="F40" s="311"/>
      <c r="G40" s="311"/>
      <c r="H40" s="311"/>
      <c r="I40" s="389" t="s">
        <v>40</v>
      </c>
      <c r="J40" s="389"/>
      <c r="K40" s="389"/>
    </row>
    <row r="42" spans="1:11" x14ac:dyDescent="0.25">
      <c r="A42" s="311"/>
      <c r="B42" s="311"/>
      <c r="C42" s="310"/>
      <c r="D42" s="310"/>
      <c r="E42" s="310"/>
      <c r="F42" s="310"/>
      <c r="G42" s="310"/>
      <c r="H42" s="310"/>
      <c r="I42" s="86"/>
    </row>
    <row r="43" spans="1:11" x14ac:dyDescent="0.25">
      <c r="A43" s="311"/>
      <c r="B43" s="311"/>
      <c r="C43" s="310"/>
      <c r="D43" s="310"/>
      <c r="E43" s="310"/>
      <c r="F43" s="310"/>
      <c r="G43" s="310"/>
      <c r="H43" s="310"/>
    </row>
    <row r="44" spans="1:11" x14ac:dyDescent="0.25">
      <c r="A44" s="86"/>
      <c r="B44" s="86"/>
      <c r="C44" s="86"/>
      <c r="D44" s="86"/>
      <c r="E44" s="86"/>
      <c r="F44" s="86"/>
      <c r="G44" s="86"/>
      <c r="H44" s="86"/>
      <c r="I44" s="309"/>
    </row>
    <row r="45" spans="1:11" x14ac:dyDescent="0.25">
      <c r="A45" s="92"/>
      <c r="B45" s="86"/>
      <c r="C45" s="86"/>
      <c r="D45" s="86"/>
      <c r="E45" s="86"/>
      <c r="F45" s="86"/>
      <c r="G45" s="86"/>
      <c r="H45" s="86"/>
      <c r="I45" s="86"/>
    </row>
  </sheetData>
  <mergeCells count="47">
    <mergeCell ref="A4:I4"/>
    <mergeCell ref="A1:K1"/>
    <mergeCell ref="A2:I2"/>
    <mergeCell ref="J2:K2"/>
    <mergeCell ref="A3:I3"/>
    <mergeCell ref="J3:K3"/>
    <mergeCell ref="J16:K16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J14:K14"/>
    <mergeCell ref="J15:K15"/>
    <mergeCell ref="A27:B27"/>
    <mergeCell ref="C27:D27"/>
    <mergeCell ref="E27:H27"/>
    <mergeCell ref="J27:K27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E26:H26"/>
    <mergeCell ref="J26:K26"/>
    <mergeCell ref="A28:B28"/>
    <mergeCell ref="C28:D28"/>
    <mergeCell ref="E28:H28"/>
    <mergeCell ref="J28:K28"/>
    <mergeCell ref="A29:B29"/>
    <mergeCell ref="E29:H29"/>
    <mergeCell ref="J29:K29"/>
    <mergeCell ref="I40:K40"/>
    <mergeCell ref="A30:H30"/>
    <mergeCell ref="J30:K30"/>
    <mergeCell ref="J31:K31"/>
    <mergeCell ref="A33:K34"/>
    <mergeCell ref="I36:K36"/>
    <mergeCell ref="I37:K37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45"/>
  <sheetViews>
    <sheetView topLeftCell="A7" workbookViewId="0">
      <selection activeCell="A35" sqref="A35"/>
    </sheetView>
  </sheetViews>
  <sheetFormatPr baseColWidth="10" defaultRowHeight="15" x14ac:dyDescent="0.25"/>
  <cols>
    <col min="1" max="1" width="7.5703125" style="228" customWidth="1"/>
    <col min="2" max="2" width="5.140625" style="228" customWidth="1"/>
    <col min="3" max="3" width="10" style="228" customWidth="1"/>
    <col min="4" max="4" width="5.28515625" style="228" customWidth="1"/>
    <col min="5" max="5" width="5.42578125" style="228" customWidth="1"/>
    <col min="6" max="6" width="7.42578125" style="228" customWidth="1"/>
    <col min="7" max="7" width="6.28515625" style="228" customWidth="1"/>
    <col min="8" max="8" width="11.140625" style="228" customWidth="1"/>
    <col min="9" max="9" width="13" style="228" customWidth="1"/>
    <col min="10" max="10" width="6" style="228" customWidth="1"/>
    <col min="11" max="11" width="9.7109375" style="228" customWidth="1"/>
  </cols>
  <sheetData>
    <row r="1" spans="1:1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x14ac:dyDescent="0.25">
      <c r="A2" s="429" t="s">
        <v>162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x14ac:dyDescent="0.25">
      <c r="A3" s="429" t="s">
        <v>121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x14ac:dyDescent="0.25">
      <c r="A5" s="406"/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x14ac:dyDescent="0.25">
      <c r="A6" s="415" t="s">
        <v>399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x14ac:dyDescent="0.25">
      <c r="A7" s="66" t="s">
        <v>2</v>
      </c>
      <c r="B7" s="263"/>
      <c r="C7" s="264"/>
      <c r="D7" s="262" t="s">
        <v>6</v>
      </c>
      <c r="E7" s="263"/>
      <c r="F7" s="264"/>
      <c r="G7" s="262" t="s">
        <v>7</v>
      </c>
      <c r="H7" s="264"/>
      <c r="I7" s="418" t="s">
        <v>10</v>
      </c>
      <c r="J7" s="420" t="s">
        <v>33</v>
      </c>
      <c r="K7" s="421"/>
    </row>
    <row r="8" spans="1:1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x14ac:dyDescent="0.25">
      <c r="A9" s="9">
        <v>14</v>
      </c>
      <c r="B9" s="10">
        <v>6</v>
      </c>
      <c r="C9" s="138" t="s">
        <v>350</v>
      </c>
      <c r="D9" s="9">
        <v>14</v>
      </c>
      <c r="E9" s="10">
        <v>6</v>
      </c>
      <c r="F9" s="138" t="s">
        <v>246</v>
      </c>
      <c r="G9" s="12">
        <v>0.5</v>
      </c>
      <c r="H9" s="272">
        <v>84366</v>
      </c>
      <c r="I9" s="14">
        <v>42183</v>
      </c>
      <c r="J9" s="424"/>
      <c r="K9" s="425"/>
    </row>
    <row r="10" spans="1:11" x14ac:dyDescent="0.25">
      <c r="A10" s="9">
        <v>18</v>
      </c>
      <c r="B10" s="10">
        <v>6</v>
      </c>
      <c r="C10" s="138" t="s">
        <v>350</v>
      </c>
      <c r="D10" s="19">
        <v>18</v>
      </c>
      <c r="E10" s="10">
        <v>6</v>
      </c>
      <c r="F10" s="138" t="s">
        <v>356</v>
      </c>
      <c r="G10" s="12">
        <v>0.5</v>
      </c>
      <c r="H10" s="272">
        <v>84366</v>
      </c>
      <c r="I10" s="14">
        <v>42183</v>
      </c>
      <c r="J10" s="424"/>
      <c r="K10" s="425"/>
    </row>
    <row r="11" spans="1:11" x14ac:dyDescent="0.25">
      <c r="A11" s="9">
        <v>20</v>
      </c>
      <c r="B11" s="10">
        <v>6</v>
      </c>
      <c r="C11" s="138" t="s">
        <v>224</v>
      </c>
      <c r="D11" s="19">
        <v>21</v>
      </c>
      <c r="E11" s="10">
        <v>6</v>
      </c>
      <c r="F11" s="138" t="s">
        <v>188</v>
      </c>
      <c r="G11" s="12">
        <v>0.5</v>
      </c>
      <c r="H11" s="272">
        <v>84366</v>
      </c>
      <c r="I11" s="14">
        <v>42183</v>
      </c>
      <c r="J11" s="424"/>
      <c r="K11" s="425"/>
    </row>
    <row r="12" spans="1:11" x14ac:dyDescent="0.25">
      <c r="A12" s="9"/>
      <c r="B12" s="10"/>
      <c r="C12" s="138"/>
      <c r="D12" s="19"/>
      <c r="E12" s="10"/>
      <c r="F12" s="139"/>
      <c r="G12" s="12"/>
      <c r="H12" s="272"/>
      <c r="I12" s="14"/>
      <c r="J12" s="424"/>
      <c r="K12" s="425"/>
    </row>
    <row r="13" spans="1:11" x14ac:dyDescent="0.25">
      <c r="A13" s="9"/>
      <c r="B13" s="10"/>
      <c r="C13" s="138"/>
      <c r="D13" s="22"/>
      <c r="E13" s="10"/>
      <c r="F13" s="138"/>
      <c r="G13" s="12"/>
      <c r="H13" s="272"/>
      <c r="I13" s="14"/>
      <c r="J13" s="424"/>
      <c r="K13" s="425"/>
    </row>
    <row r="14" spans="1:11" x14ac:dyDescent="0.25">
      <c r="A14" s="9"/>
      <c r="B14" s="10"/>
      <c r="C14" s="138"/>
      <c r="D14" s="9"/>
      <c r="E14" s="10"/>
      <c r="F14" s="138"/>
      <c r="G14" s="12"/>
      <c r="H14" s="272"/>
      <c r="I14" s="14"/>
      <c r="J14" s="424"/>
      <c r="K14" s="425"/>
    </row>
    <row r="15" spans="1:11" x14ac:dyDescent="0.25">
      <c r="A15" s="9"/>
      <c r="B15" s="10"/>
      <c r="C15" s="138"/>
      <c r="D15" s="19"/>
      <c r="E15" s="10"/>
      <c r="F15" s="138"/>
      <c r="G15" s="12"/>
      <c r="H15" s="272"/>
      <c r="I15" s="14"/>
      <c r="J15" s="424"/>
      <c r="K15" s="425"/>
    </row>
    <row r="16" spans="1:11" x14ac:dyDescent="0.25">
      <c r="A16" s="9"/>
      <c r="B16" s="10"/>
      <c r="C16" s="138"/>
      <c r="D16" s="19"/>
      <c r="E16" s="10"/>
      <c r="F16" s="139"/>
      <c r="G16" s="12"/>
      <c r="H16" s="272"/>
      <c r="I16" s="14"/>
      <c r="J16" s="411"/>
      <c r="K16" s="412"/>
    </row>
    <row r="17" spans="1:11" x14ac:dyDescent="0.25">
      <c r="A17" s="9"/>
      <c r="B17" s="10"/>
      <c r="C17" s="138"/>
      <c r="D17" s="19"/>
      <c r="E17" s="10"/>
      <c r="F17" s="138"/>
      <c r="G17" s="12"/>
      <c r="H17" s="272"/>
      <c r="I17" s="14"/>
      <c r="J17" s="411"/>
      <c r="K17" s="412"/>
    </row>
    <row r="18" spans="1:11" x14ac:dyDescent="0.25">
      <c r="A18" s="9"/>
      <c r="B18" s="10"/>
      <c r="C18" s="138"/>
      <c r="D18" s="19"/>
      <c r="E18" s="10"/>
      <c r="F18" s="138"/>
      <c r="G18" s="12"/>
      <c r="H18" s="272"/>
      <c r="I18" s="14"/>
      <c r="J18" s="411"/>
      <c r="K18" s="412"/>
    </row>
    <row r="19" spans="1:1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11"/>
      <c r="K19" s="412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13"/>
      <c r="K20" s="414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11"/>
      <c r="K21" s="412"/>
    </row>
    <row r="22" spans="1:11" x14ac:dyDescent="0.25">
      <c r="A22" s="9"/>
      <c r="B22" s="10"/>
      <c r="C22" s="11"/>
      <c r="D22" s="9"/>
      <c r="E22" s="10"/>
      <c r="F22" s="11"/>
      <c r="G22" s="72"/>
      <c r="H22" s="13"/>
      <c r="I22" s="71"/>
      <c r="J22" s="413"/>
      <c r="K22" s="414"/>
    </row>
    <row r="23" spans="1:11" x14ac:dyDescent="0.25">
      <c r="A23" s="9"/>
      <c r="B23" s="10"/>
      <c r="C23" s="11"/>
      <c r="D23" s="19"/>
      <c r="E23" s="10"/>
      <c r="F23" s="11"/>
      <c r="G23" s="12"/>
      <c r="H23" s="13"/>
      <c r="I23" s="71"/>
      <c r="J23" s="413"/>
      <c r="K23" s="414"/>
    </row>
    <row r="24" spans="1:11" x14ac:dyDescent="0.25">
      <c r="A24" s="29"/>
      <c r="B24" s="29"/>
      <c r="C24" s="30"/>
      <c r="D24" s="29"/>
      <c r="E24" s="29"/>
      <c r="F24" s="30"/>
      <c r="G24" s="12"/>
      <c r="H24" s="13"/>
      <c r="I24" s="14"/>
      <c r="J24" s="400"/>
      <c r="K24" s="401"/>
    </row>
    <row r="25" spans="1:1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x14ac:dyDescent="0.25">
      <c r="A26" s="265" t="s">
        <v>21</v>
      </c>
      <c r="B26" s="74"/>
      <c r="C26" s="94" t="s">
        <v>35</v>
      </c>
      <c r="D26" s="261"/>
      <c r="E26" s="406" t="s">
        <v>36</v>
      </c>
      <c r="F26" s="410"/>
      <c r="G26" s="410"/>
      <c r="H26" s="407"/>
      <c r="I26" s="269"/>
      <c r="J26" s="400"/>
      <c r="K26" s="401"/>
    </row>
    <row r="27" spans="1:11" x14ac:dyDescent="0.25">
      <c r="A27" s="406"/>
      <c r="B27" s="407"/>
      <c r="C27" s="408"/>
      <c r="D27" s="409"/>
      <c r="E27" s="406"/>
      <c r="F27" s="410"/>
      <c r="G27" s="410"/>
      <c r="H27" s="407"/>
      <c r="I27" s="270"/>
      <c r="J27" s="400"/>
      <c r="K27" s="401"/>
    </row>
    <row r="28" spans="1:11" x14ac:dyDescent="0.25">
      <c r="A28" s="403"/>
      <c r="B28" s="404"/>
      <c r="C28" s="403"/>
      <c r="D28" s="404"/>
      <c r="E28" s="403"/>
      <c r="F28" s="405"/>
      <c r="G28" s="405"/>
      <c r="H28" s="404"/>
      <c r="I28" s="78"/>
      <c r="J28" s="400"/>
      <c r="K28" s="401"/>
    </row>
    <row r="29" spans="1:11" x14ac:dyDescent="0.25">
      <c r="A29" s="403"/>
      <c r="B29" s="404"/>
      <c r="C29" s="79"/>
      <c r="D29" s="80"/>
      <c r="E29" s="403"/>
      <c r="F29" s="405"/>
      <c r="G29" s="405"/>
      <c r="H29" s="404"/>
      <c r="I29" s="78"/>
      <c r="J29" s="400"/>
      <c r="K29" s="401"/>
    </row>
    <row r="30" spans="1:11" x14ac:dyDescent="0.25">
      <c r="A30" s="397" t="s">
        <v>37</v>
      </c>
      <c r="B30" s="398"/>
      <c r="C30" s="398"/>
      <c r="D30" s="398"/>
      <c r="E30" s="398"/>
      <c r="F30" s="398"/>
      <c r="G30" s="398"/>
      <c r="H30" s="399"/>
      <c r="I30" s="81">
        <f>SUM(I9:I23)</f>
        <v>126549</v>
      </c>
      <c r="J30" s="400"/>
      <c r="K30" s="401"/>
    </row>
    <row r="31" spans="1:11" x14ac:dyDescent="0.25">
      <c r="A31" s="82"/>
      <c r="B31" s="83"/>
      <c r="C31" s="83"/>
      <c r="D31" s="83"/>
      <c r="E31" s="83"/>
      <c r="F31" s="83"/>
      <c r="G31" s="83"/>
      <c r="H31" s="84"/>
      <c r="I31" s="85"/>
      <c r="J31" s="400"/>
      <c r="K31" s="401"/>
    </row>
    <row r="32" spans="1:1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  <row r="33" spans="1:11" x14ac:dyDescent="0.25">
      <c r="A33" s="402" t="s">
        <v>405</v>
      </c>
      <c r="B33" s="402"/>
      <c r="C33" s="402"/>
      <c r="D33" s="402"/>
      <c r="E33" s="402"/>
      <c r="F33" s="402"/>
      <c r="G33" s="402"/>
      <c r="H33" s="402"/>
      <c r="I33" s="402"/>
      <c r="J33" s="402"/>
      <c r="K33" s="402"/>
    </row>
    <row r="34" spans="1:11" x14ac:dyDescent="0.25">
      <c r="A34" s="402"/>
      <c r="B34" s="402"/>
      <c r="C34" s="402"/>
      <c r="D34" s="402"/>
      <c r="E34" s="402"/>
      <c r="F34" s="402"/>
      <c r="G34" s="402"/>
      <c r="H34" s="402"/>
      <c r="I34" s="402"/>
      <c r="J34" s="402"/>
      <c r="K34" s="402"/>
    </row>
    <row r="35" spans="1:11" x14ac:dyDescent="0.25">
      <c r="A35" s="87"/>
      <c r="B35" s="86"/>
      <c r="C35" s="86"/>
      <c r="D35" s="86"/>
      <c r="E35" s="86"/>
      <c r="F35" s="86"/>
      <c r="G35" s="86"/>
      <c r="H35" s="86"/>
      <c r="I35" s="86"/>
      <c r="J35" s="266"/>
      <c r="K35" s="266"/>
    </row>
    <row r="36" spans="1:11" x14ac:dyDescent="0.25">
      <c r="A36" s="268"/>
      <c r="B36" s="268"/>
      <c r="C36" s="268"/>
      <c r="D36" s="268"/>
      <c r="E36" s="268"/>
      <c r="F36" s="267"/>
      <c r="G36" s="267"/>
      <c r="H36" s="267"/>
      <c r="I36" s="389" t="s">
        <v>61</v>
      </c>
      <c r="J36" s="389"/>
      <c r="K36" s="389"/>
    </row>
    <row r="37" spans="1:11" x14ac:dyDescent="0.25">
      <c r="A37" s="268"/>
      <c r="B37" s="268"/>
      <c r="C37" s="268"/>
      <c r="D37" s="268"/>
      <c r="E37" s="268"/>
      <c r="F37" s="267"/>
      <c r="G37" s="267"/>
      <c r="H37" s="267"/>
      <c r="I37" s="390" t="s">
        <v>38</v>
      </c>
      <c r="J37" s="390"/>
      <c r="K37" s="390"/>
    </row>
    <row r="38" spans="1:11" x14ac:dyDescent="0.25">
      <c r="A38" s="268"/>
      <c r="B38" s="268"/>
      <c r="C38" s="267"/>
      <c r="D38" s="267"/>
      <c r="E38" s="267"/>
      <c r="F38" s="267"/>
      <c r="G38" s="267"/>
      <c r="H38" s="267"/>
      <c r="I38" s="266"/>
    </row>
    <row r="39" spans="1:11" x14ac:dyDescent="0.25">
      <c r="A39" s="268"/>
      <c r="B39" s="268"/>
      <c r="C39" s="267"/>
      <c r="D39" s="267"/>
      <c r="E39" s="267"/>
      <c r="F39" s="267"/>
      <c r="G39" s="267"/>
      <c r="H39" s="267"/>
      <c r="I39" s="86"/>
    </row>
    <row r="40" spans="1:11" x14ac:dyDescent="0.25">
      <c r="A40" s="271" t="s">
        <v>39</v>
      </c>
      <c r="B40" s="268"/>
      <c r="C40" s="268"/>
      <c r="D40" s="268"/>
      <c r="E40" s="268"/>
      <c r="F40" s="268"/>
      <c r="G40" s="268"/>
      <c r="H40" s="268"/>
      <c r="I40" s="389" t="s">
        <v>62</v>
      </c>
      <c r="J40" s="389"/>
      <c r="K40" s="389"/>
    </row>
    <row r="41" spans="1:11" x14ac:dyDescent="0.25">
      <c r="A41" s="271" t="s">
        <v>404</v>
      </c>
      <c r="B41" s="268"/>
      <c r="C41" s="267"/>
      <c r="D41" s="267"/>
      <c r="E41" s="267"/>
      <c r="F41" s="268"/>
      <c r="G41" s="268"/>
      <c r="H41" s="268"/>
      <c r="I41" s="389" t="s">
        <v>40</v>
      </c>
      <c r="J41" s="389"/>
      <c r="K41" s="389"/>
    </row>
    <row r="42" spans="1:11" x14ac:dyDescent="0.25">
      <c r="A42" s="268"/>
      <c r="B42" s="268"/>
      <c r="C42" s="267"/>
      <c r="D42" s="267"/>
      <c r="E42" s="267"/>
      <c r="F42" s="267"/>
      <c r="G42" s="267"/>
      <c r="H42" s="267"/>
      <c r="I42" s="86"/>
    </row>
    <row r="43" spans="1:11" x14ac:dyDescent="0.25">
      <c r="A43" s="268"/>
      <c r="B43" s="268"/>
      <c r="C43" s="267"/>
      <c r="D43" s="267"/>
      <c r="E43" s="267"/>
      <c r="F43" s="267"/>
      <c r="G43" s="267"/>
      <c r="H43" s="267"/>
    </row>
    <row r="44" spans="1:11" x14ac:dyDescent="0.25">
      <c r="A44" s="86"/>
      <c r="B44" s="86"/>
      <c r="C44" s="86"/>
      <c r="D44" s="86"/>
      <c r="E44" s="86"/>
      <c r="F44" s="86"/>
      <c r="G44" s="86"/>
      <c r="H44" s="86"/>
      <c r="I44" s="266"/>
    </row>
    <row r="45" spans="1:11" x14ac:dyDescent="0.25">
      <c r="A45" s="92"/>
      <c r="B45" s="86"/>
      <c r="C45" s="86"/>
      <c r="D45" s="86"/>
      <c r="E45" s="86"/>
      <c r="F45" s="86"/>
      <c r="G45" s="86"/>
      <c r="H45" s="86"/>
      <c r="I45" s="86"/>
    </row>
  </sheetData>
  <mergeCells count="48">
    <mergeCell ref="A4:I4"/>
    <mergeCell ref="A1:K1"/>
    <mergeCell ref="A2:I2"/>
    <mergeCell ref="J2:K2"/>
    <mergeCell ref="A3:I3"/>
    <mergeCell ref="J3:K3"/>
    <mergeCell ref="J16:K16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J14:K14"/>
    <mergeCell ref="J15:K15"/>
    <mergeCell ref="A27:B27"/>
    <mergeCell ref="C27:D27"/>
    <mergeCell ref="E27:H27"/>
    <mergeCell ref="J27:K27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E26:H26"/>
    <mergeCell ref="J26:K26"/>
    <mergeCell ref="A28:B28"/>
    <mergeCell ref="C28:D28"/>
    <mergeCell ref="E28:H28"/>
    <mergeCell ref="J28:K28"/>
    <mergeCell ref="A29:B29"/>
    <mergeCell ref="E29:H29"/>
    <mergeCell ref="J29:K29"/>
    <mergeCell ref="I40:K40"/>
    <mergeCell ref="I41:K41"/>
    <mergeCell ref="A30:H30"/>
    <mergeCell ref="J30:K30"/>
    <mergeCell ref="J31:K31"/>
    <mergeCell ref="A33:K34"/>
    <mergeCell ref="I36:K36"/>
    <mergeCell ref="I37:K37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45"/>
  <sheetViews>
    <sheetView workbookViewId="0">
      <selection activeCell="A35" sqref="A35"/>
    </sheetView>
  </sheetViews>
  <sheetFormatPr baseColWidth="10" defaultRowHeight="15" x14ac:dyDescent="0.25"/>
  <cols>
    <col min="1" max="1" width="7.5703125" style="228" customWidth="1"/>
    <col min="2" max="2" width="5.140625" style="228" customWidth="1"/>
    <col min="3" max="3" width="10" style="228" customWidth="1"/>
    <col min="4" max="4" width="5.28515625" style="228" customWidth="1"/>
    <col min="5" max="5" width="5.42578125" style="228" customWidth="1"/>
    <col min="6" max="6" width="7.42578125" style="228" customWidth="1"/>
    <col min="7" max="7" width="6.28515625" style="228" customWidth="1"/>
    <col min="8" max="8" width="11.140625" style="228" customWidth="1"/>
    <col min="9" max="9" width="13" style="228" customWidth="1"/>
    <col min="10" max="10" width="6" style="228" customWidth="1"/>
    <col min="11" max="11" width="9.7109375" style="228" customWidth="1"/>
  </cols>
  <sheetData>
    <row r="1" spans="1:1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x14ac:dyDescent="0.25">
      <c r="A2" s="429" t="s">
        <v>408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x14ac:dyDescent="0.25">
      <c r="A3" s="429" t="s">
        <v>121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x14ac:dyDescent="0.25">
      <c r="A5" s="406"/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x14ac:dyDescent="0.25">
      <c r="A6" s="415" t="s">
        <v>399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x14ac:dyDescent="0.25">
      <c r="A7" s="66" t="s">
        <v>2</v>
      </c>
      <c r="B7" s="354"/>
      <c r="C7" s="355"/>
      <c r="D7" s="353" t="s">
        <v>6</v>
      </c>
      <c r="E7" s="354"/>
      <c r="F7" s="355"/>
      <c r="G7" s="353" t="s">
        <v>7</v>
      </c>
      <c r="H7" s="355"/>
      <c r="I7" s="418" t="s">
        <v>10</v>
      </c>
      <c r="J7" s="420" t="s">
        <v>33</v>
      </c>
      <c r="K7" s="421"/>
    </row>
    <row r="8" spans="1:1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x14ac:dyDescent="0.25">
      <c r="A9" s="9">
        <v>20</v>
      </c>
      <c r="B9" s="10">
        <v>6</v>
      </c>
      <c r="C9" s="138" t="s">
        <v>119</v>
      </c>
      <c r="D9" s="9">
        <v>21</v>
      </c>
      <c r="E9" s="10">
        <v>6</v>
      </c>
      <c r="F9" s="138" t="s">
        <v>361</v>
      </c>
      <c r="G9" s="12">
        <v>0.5</v>
      </c>
      <c r="H9" s="272">
        <v>84366</v>
      </c>
      <c r="I9" s="14">
        <v>42183</v>
      </c>
      <c r="J9" s="424"/>
      <c r="K9" s="425"/>
    </row>
    <row r="10" spans="1:11" x14ac:dyDescent="0.25">
      <c r="A10" s="9">
        <v>23</v>
      </c>
      <c r="B10" s="10">
        <v>6</v>
      </c>
      <c r="C10" s="138" t="s">
        <v>213</v>
      </c>
      <c r="D10" s="19">
        <v>23</v>
      </c>
      <c r="E10" s="10">
        <v>6</v>
      </c>
      <c r="F10" s="138" t="s">
        <v>289</v>
      </c>
      <c r="G10" s="12">
        <v>0.5</v>
      </c>
      <c r="H10" s="272">
        <v>84366</v>
      </c>
      <c r="I10" s="14">
        <v>42183</v>
      </c>
      <c r="J10" s="424"/>
      <c r="K10" s="425"/>
    </row>
    <row r="11" spans="1:11" x14ac:dyDescent="0.25">
      <c r="A11" s="9">
        <v>25</v>
      </c>
      <c r="B11" s="10">
        <v>6</v>
      </c>
      <c r="C11" s="138" t="s">
        <v>320</v>
      </c>
      <c r="D11" s="19">
        <v>25</v>
      </c>
      <c r="E11" s="10">
        <v>6</v>
      </c>
      <c r="F11" s="138" t="s">
        <v>213</v>
      </c>
      <c r="G11" s="12">
        <v>0.5</v>
      </c>
      <c r="H11" s="272">
        <v>84366</v>
      </c>
      <c r="I11" s="14">
        <v>42183</v>
      </c>
      <c r="J11" s="424"/>
      <c r="K11" s="425"/>
    </row>
    <row r="12" spans="1:11" x14ac:dyDescent="0.25">
      <c r="A12" s="9">
        <v>26</v>
      </c>
      <c r="B12" s="10">
        <v>6</v>
      </c>
      <c r="C12" s="138" t="s">
        <v>245</v>
      </c>
      <c r="D12" s="19">
        <v>26</v>
      </c>
      <c r="E12" s="10">
        <v>6</v>
      </c>
      <c r="F12" s="138" t="s">
        <v>185</v>
      </c>
      <c r="G12" s="12">
        <v>0.5</v>
      </c>
      <c r="H12" s="272">
        <v>84366</v>
      </c>
      <c r="I12" s="14">
        <v>42183</v>
      </c>
      <c r="J12" s="424"/>
      <c r="K12" s="425"/>
    </row>
    <row r="13" spans="1:11" x14ac:dyDescent="0.25">
      <c r="A13" s="9"/>
      <c r="B13" s="10"/>
      <c r="C13" s="138"/>
      <c r="D13" s="19"/>
      <c r="E13" s="10"/>
      <c r="F13" s="138"/>
      <c r="G13" s="12"/>
      <c r="H13" s="272"/>
      <c r="I13" s="14"/>
      <c r="J13" s="424"/>
      <c r="K13" s="425"/>
    </row>
    <row r="14" spans="1:11" x14ac:dyDescent="0.25">
      <c r="A14" s="9"/>
      <c r="B14" s="10"/>
      <c r="C14" s="138"/>
      <c r="D14" s="9"/>
      <c r="E14" s="10"/>
      <c r="F14" s="138"/>
      <c r="G14" s="12"/>
      <c r="H14" s="272"/>
      <c r="I14" s="14"/>
      <c r="J14" s="424"/>
      <c r="K14" s="425"/>
    </row>
    <row r="15" spans="1:11" x14ac:dyDescent="0.25">
      <c r="A15" s="9"/>
      <c r="B15" s="10"/>
      <c r="C15" s="138"/>
      <c r="D15" s="19"/>
      <c r="E15" s="10"/>
      <c r="F15" s="138"/>
      <c r="G15" s="12"/>
      <c r="H15" s="272"/>
      <c r="I15" s="14"/>
      <c r="J15" s="424"/>
      <c r="K15" s="425"/>
    </row>
    <row r="16" spans="1:11" x14ac:dyDescent="0.25">
      <c r="A16" s="9"/>
      <c r="B16" s="10"/>
      <c r="C16" s="138"/>
      <c r="D16" s="19"/>
      <c r="E16" s="10"/>
      <c r="F16" s="139"/>
      <c r="G16" s="12"/>
      <c r="H16" s="272"/>
      <c r="I16" s="14"/>
      <c r="J16" s="411"/>
      <c r="K16" s="412"/>
    </row>
    <row r="17" spans="1:11" x14ac:dyDescent="0.25">
      <c r="A17" s="9"/>
      <c r="B17" s="10"/>
      <c r="C17" s="138"/>
      <c r="D17" s="19"/>
      <c r="E17" s="10"/>
      <c r="F17" s="138"/>
      <c r="G17" s="12"/>
      <c r="H17" s="272"/>
      <c r="I17" s="14"/>
      <c r="J17" s="411"/>
      <c r="K17" s="412"/>
    </row>
    <row r="18" spans="1:11" x14ac:dyDescent="0.25">
      <c r="A18" s="9"/>
      <c r="B18" s="10"/>
      <c r="C18" s="138"/>
      <c r="D18" s="19"/>
      <c r="E18" s="10"/>
      <c r="F18" s="138"/>
      <c r="G18" s="12"/>
      <c r="H18" s="272"/>
      <c r="I18" s="14"/>
      <c r="J18" s="411"/>
      <c r="K18" s="412"/>
    </row>
    <row r="19" spans="1:1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11"/>
      <c r="K19" s="412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13"/>
      <c r="K20" s="414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11"/>
      <c r="K21" s="412"/>
    </row>
    <row r="22" spans="1:11" x14ac:dyDescent="0.25">
      <c r="A22" s="9"/>
      <c r="B22" s="10"/>
      <c r="C22" s="11"/>
      <c r="D22" s="9"/>
      <c r="E22" s="10"/>
      <c r="F22" s="11"/>
      <c r="G22" s="72"/>
      <c r="H22" s="13"/>
      <c r="I22" s="71"/>
      <c r="J22" s="413"/>
      <c r="K22" s="414"/>
    </row>
    <row r="23" spans="1:11" x14ac:dyDescent="0.25">
      <c r="A23" s="9"/>
      <c r="B23" s="10"/>
      <c r="C23" s="11"/>
      <c r="D23" s="19"/>
      <c r="E23" s="10"/>
      <c r="F23" s="11"/>
      <c r="G23" s="12"/>
      <c r="H23" s="13"/>
      <c r="I23" s="71"/>
      <c r="J23" s="413"/>
      <c r="K23" s="414"/>
    </row>
    <row r="24" spans="1:11" x14ac:dyDescent="0.25">
      <c r="A24" s="29"/>
      <c r="B24" s="29"/>
      <c r="C24" s="30"/>
      <c r="D24" s="29"/>
      <c r="E24" s="29"/>
      <c r="F24" s="30"/>
      <c r="G24" s="12"/>
      <c r="H24" s="13"/>
      <c r="I24" s="14"/>
      <c r="J24" s="400"/>
      <c r="K24" s="401"/>
    </row>
    <row r="25" spans="1:1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x14ac:dyDescent="0.25">
      <c r="A26" s="356" t="s">
        <v>21</v>
      </c>
      <c r="B26" s="74"/>
      <c r="C26" s="94" t="s">
        <v>35</v>
      </c>
      <c r="D26" s="352"/>
      <c r="E26" s="406" t="s">
        <v>36</v>
      </c>
      <c r="F26" s="410"/>
      <c r="G26" s="410"/>
      <c r="H26" s="407"/>
      <c r="I26" s="360"/>
      <c r="J26" s="400"/>
      <c r="K26" s="401"/>
    </row>
    <row r="27" spans="1:11" x14ac:dyDescent="0.25">
      <c r="A27" s="406"/>
      <c r="B27" s="407"/>
      <c r="C27" s="408"/>
      <c r="D27" s="409"/>
      <c r="E27" s="406"/>
      <c r="F27" s="410"/>
      <c r="G27" s="410"/>
      <c r="H27" s="407"/>
      <c r="I27" s="361"/>
      <c r="J27" s="400"/>
      <c r="K27" s="401"/>
    </row>
    <row r="28" spans="1:11" x14ac:dyDescent="0.25">
      <c r="A28" s="403"/>
      <c r="B28" s="404"/>
      <c r="C28" s="403"/>
      <c r="D28" s="404"/>
      <c r="E28" s="403"/>
      <c r="F28" s="405"/>
      <c r="G28" s="405"/>
      <c r="H28" s="404"/>
      <c r="I28" s="78"/>
      <c r="J28" s="400"/>
      <c r="K28" s="401"/>
    </row>
    <row r="29" spans="1:11" x14ac:dyDescent="0.25">
      <c r="A29" s="403"/>
      <c r="B29" s="404"/>
      <c r="C29" s="79"/>
      <c r="D29" s="80"/>
      <c r="E29" s="403"/>
      <c r="F29" s="405"/>
      <c r="G29" s="405"/>
      <c r="H29" s="404"/>
      <c r="I29" s="78"/>
      <c r="J29" s="400"/>
      <c r="K29" s="401"/>
    </row>
    <row r="30" spans="1:11" x14ac:dyDescent="0.25">
      <c r="A30" s="397" t="s">
        <v>37</v>
      </c>
      <c r="B30" s="398"/>
      <c r="C30" s="398"/>
      <c r="D30" s="398"/>
      <c r="E30" s="398"/>
      <c r="F30" s="398"/>
      <c r="G30" s="398"/>
      <c r="H30" s="399"/>
      <c r="I30" s="81">
        <f>SUM(I9:I23)</f>
        <v>168732</v>
      </c>
      <c r="J30" s="400"/>
      <c r="K30" s="401"/>
    </row>
    <row r="31" spans="1:11" x14ac:dyDescent="0.25">
      <c r="A31" s="82"/>
      <c r="B31" s="83"/>
      <c r="C31" s="83"/>
      <c r="D31" s="83"/>
      <c r="E31" s="83"/>
      <c r="F31" s="83"/>
      <c r="G31" s="83"/>
      <c r="H31" s="84"/>
      <c r="I31" s="85"/>
      <c r="J31" s="400"/>
      <c r="K31" s="401"/>
    </row>
    <row r="32" spans="1:1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  <row r="33" spans="1:11" x14ac:dyDescent="0.25">
      <c r="A33" s="402" t="s">
        <v>434</v>
      </c>
      <c r="B33" s="402"/>
      <c r="C33" s="402"/>
      <c r="D33" s="402"/>
      <c r="E33" s="402"/>
      <c r="F33" s="402"/>
      <c r="G33" s="402"/>
      <c r="H33" s="402"/>
      <c r="I33" s="402"/>
      <c r="J33" s="402"/>
      <c r="K33" s="402"/>
    </row>
    <row r="34" spans="1:11" x14ac:dyDescent="0.25">
      <c r="A34" s="402"/>
      <c r="B34" s="402"/>
      <c r="C34" s="402"/>
      <c r="D34" s="402"/>
      <c r="E34" s="402"/>
      <c r="F34" s="402"/>
      <c r="G34" s="402"/>
      <c r="H34" s="402"/>
      <c r="I34" s="402"/>
      <c r="J34" s="402"/>
      <c r="K34" s="402"/>
    </row>
    <row r="35" spans="1:11" x14ac:dyDescent="0.25">
      <c r="A35" s="87"/>
      <c r="B35" s="86"/>
      <c r="C35" s="86"/>
      <c r="D35" s="86"/>
      <c r="E35" s="86"/>
      <c r="F35" s="86"/>
      <c r="G35" s="86"/>
      <c r="H35" s="86"/>
      <c r="I35" s="86"/>
      <c r="J35" s="357"/>
      <c r="K35" s="357"/>
    </row>
    <row r="36" spans="1:11" x14ac:dyDescent="0.25">
      <c r="A36" s="359"/>
      <c r="B36" s="359"/>
      <c r="C36" s="359"/>
      <c r="D36" s="359"/>
      <c r="E36" s="359"/>
      <c r="F36" s="358"/>
      <c r="G36" s="358"/>
      <c r="H36" s="358"/>
      <c r="I36" s="389" t="s">
        <v>61</v>
      </c>
      <c r="J36" s="389"/>
      <c r="K36" s="389"/>
    </row>
    <row r="37" spans="1:11" x14ac:dyDescent="0.25">
      <c r="A37" s="359"/>
      <c r="B37" s="359"/>
      <c r="C37" s="359"/>
      <c r="D37" s="359"/>
      <c r="E37" s="359"/>
      <c r="F37" s="358"/>
      <c r="G37" s="358"/>
      <c r="H37" s="358"/>
      <c r="I37" s="390" t="s">
        <v>38</v>
      </c>
      <c r="J37" s="390"/>
      <c r="K37" s="390"/>
    </row>
    <row r="38" spans="1:11" x14ac:dyDescent="0.25">
      <c r="A38" s="359"/>
      <c r="B38" s="359"/>
      <c r="C38" s="358"/>
      <c r="D38" s="358"/>
      <c r="E38" s="358"/>
      <c r="F38" s="358"/>
      <c r="G38" s="358"/>
      <c r="H38" s="358"/>
      <c r="I38" s="357"/>
    </row>
    <row r="39" spans="1:11" x14ac:dyDescent="0.25">
      <c r="A39" s="359"/>
      <c r="B39" s="359"/>
      <c r="C39" s="358"/>
      <c r="D39" s="358"/>
      <c r="E39" s="358"/>
      <c r="F39" s="358"/>
      <c r="G39" s="358"/>
      <c r="H39" s="358"/>
      <c r="I39" s="86"/>
    </row>
    <row r="40" spans="1:11" x14ac:dyDescent="0.25">
      <c r="A40" s="362" t="s">
        <v>39</v>
      </c>
      <c r="B40" s="359"/>
      <c r="C40" s="359"/>
      <c r="D40" s="359"/>
      <c r="E40" s="359"/>
      <c r="F40" s="359"/>
      <c r="G40" s="359"/>
      <c r="H40" s="359"/>
      <c r="I40" s="389" t="s">
        <v>62</v>
      </c>
      <c r="J40" s="389"/>
      <c r="K40" s="389"/>
    </row>
    <row r="41" spans="1:11" x14ac:dyDescent="0.25">
      <c r="A41" s="362" t="s">
        <v>404</v>
      </c>
      <c r="B41" s="359"/>
      <c r="C41" s="358"/>
      <c r="D41" s="358"/>
      <c r="E41" s="358"/>
      <c r="F41" s="359"/>
      <c r="G41" s="359"/>
      <c r="H41" s="359"/>
      <c r="I41" s="389" t="s">
        <v>40</v>
      </c>
      <c r="J41" s="389"/>
      <c r="K41" s="389"/>
    </row>
    <row r="42" spans="1:11" x14ac:dyDescent="0.25">
      <c r="A42" s="359"/>
      <c r="B42" s="359"/>
      <c r="C42" s="358"/>
      <c r="D42" s="358"/>
      <c r="E42" s="358"/>
      <c r="F42" s="358"/>
      <c r="G42" s="358"/>
      <c r="H42" s="358"/>
      <c r="I42" s="86"/>
    </row>
    <row r="43" spans="1:11" x14ac:dyDescent="0.25">
      <c r="A43" s="359"/>
      <c r="B43" s="359"/>
      <c r="C43" s="358"/>
      <c r="D43" s="358"/>
      <c r="E43" s="358"/>
      <c r="F43" s="358"/>
      <c r="G43" s="358"/>
      <c r="H43" s="358"/>
    </row>
    <row r="44" spans="1:11" x14ac:dyDescent="0.25">
      <c r="A44" s="86"/>
      <c r="B44" s="86"/>
      <c r="C44" s="86"/>
      <c r="D44" s="86"/>
      <c r="E44" s="86"/>
      <c r="F44" s="86"/>
      <c r="G44" s="86"/>
      <c r="H44" s="86"/>
      <c r="I44" s="357"/>
    </row>
    <row r="45" spans="1:11" x14ac:dyDescent="0.25">
      <c r="A45" s="92"/>
      <c r="B45" s="86"/>
      <c r="C45" s="86"/>
      <c r="D45" s="86"/>
      <c r="E45" s="86"/>
      <c r="F45" s="86"/>
      <c r="G45" s="86"/>
      <c r="H45" s="86"/>
      <c r="I45" s="86"/>
    </row>
  </sheetData>
  <mergeCells count="48">
    <mergeCell ref="A4:I4"/>
    <mergeCell ref="A1:K1"/>
    <mergeCell ref="A2:I2"/>
    <mergeCell ref="J2:K2"/>
    <mergeCell ref="A3:I3"/>
    <mergeCell ref="J3:K3"/>
    <mergeCell ref="J16:K16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J14:K14"/>
    <mergeCell ref="J15:K15"/>
    <mergeCell ref="A27:B27"/>
    <mergeCell ref="C27:D27"/>
    <mergeCell ref="E27:H27"/>
    <mergeCell ref="J27:K27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E26:H26"/>
    <mergeCell ref="J26:K26"/>
    <mergeCell ref="A28:B28"/>
    <mergeCell ref="C28:D28"/>
    <mergeCell ref="E28:H28"/>
    <mergeCell ref="J28:K28"/>
    <mergeCell ref="A29:B29"/>
    <mergeCell ref="E29:H29"/>
    <mergeCell ref="J29:K29"/>
    <mergeCell ref="I40:K40"/>
    <mergeCell ref="I41:K41"/>
    <mergeCell ref="A30:H30"/>
    <mergeCell ref="J30:K30"/>
    <mergeCell ref="J31:K31"/>
    <mergeCell ref="A33:K34"/>
    <mergeCell ref="I36:K36"/>
    <mergeCell ref="I37:K37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J45"/>
  <sheetViews>
    <sheetView topLeftCell="A3" workbookViewId="0">
      <selection activeCell="A35" sqref="A35"/>
    </sheetView>
  </sheetViews>
  <sheetFormatPr baseColWidth="10" defaultRowHeight="15" x14ac:dyDescent="0.25"/>
  <cols>
    <col min="1" max="1" width="4.85546875" customWidth="1"/>
    <col min="2" max="2" width="5.85546875" customWidth="1"/>
    <col min="3" max="3" width="8" customWidth="1"/>
    <col min="4" max="4" width="6.42578125" customWidth="1"/>
    <col min="5" max="5" width="5.5703125" customWidth="1"/>
    <col min="6" max="6" width="7.42578125" customWidth="1"/>
    <col min="7" max="7" width="6" customWidth="1"/>
    <col min="8" max="9" width="13" customWidth="1"/>
    <col min="10" max="10" width="16.28515625" customWidth="1"/>
  </cols>
  <sheetData>
    <row r="1" spans="1:10" ht="19.5" customHeight="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27"/>
    </row>
    <row r="2" spans="1:10" ht="19.5" customHeight="1" x14ac:dyDescent="0.25">
      <c r="A2" s="429" t="s">
        <v>43</v>
      </c>
      <c r="B2" s="430"/>
      <c r="C2" s="430"/>
      <c r="D2" s="430"/>
      <c r="E2" s="430"/>
      <c r="F2" s="430"/>
      <c r="G2" s="430"/>
      <c r="H2" s="430"/>
      <c r="I2" s="430"/>
      <c r="J2" s="163" t="s">
        <v>29</v>
      </c>
    </row>
    <row r="3" spans="1:10" ht="19.5" customHeight="1" x14ac:dyDescent="0.25">
      <c r="A3" s="429" t="s">
        <v>134</v>
      </c>
      <c r="B3" s="430"/>
      <c r="C3" s="430"/>
      <c r="D3" s="430"/>
      <c r="E3" s="430"/>
      <c r="F3" s="430"/>
      <c r="G3" s="430"/>
      <c r="H3" s="430"/>
      <c r="I3" s="430"/>
      <c r="J3" s="164" t="s">
        <v>11</v>
      </c>
    </row>
    <row r="4" spans="1:10" ht="19.5" customHeight="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7"/>
      <c r="J4" s="165"/>
    </row>
    <row r="5" spans="1:10" ht="19.5" customHeight="1" x14ac:dyDescent="0.25">
      <c r="A5" s="406" t="s">
        <v>397</v>
      </c>
      <c r="B5" s="410"/>
      <c r="C5" s="410"/>
      <c r="D5" s="410"/>
      <c r="E5" s="410"/>
      <c r="F5" s="410"/>
      <c r="G5" s="410"/>
      <c r="H5" s="410"/>
      <c r="I5" s="410"/>
      <c r="J5" s="165"/>
    </row>
    <row r="6" spans="1:10" ht="19.5" customHeight="1" x14ac:dyDescent="0.25">
      <c r="A6" s="157"/>
      <c r="B6" s="158"/>
      <c r="C6" s="158"/>
      <c r="D6" s="158"/>
      <c r="E6" s="158"/>
      <c r="F6" s="158"/>
      <c r="G6" s="158"/>
      <c r="H6" s="158"/>
      <c r="I6" s="158"/>
      <c r="J6" s="166"/>
    </row>
    <row r="7" spans="1:10" ht="18" customHeight="1" x14ac:dyDescent="0.25">
      <c r="A7" s="66" t="s">
        <v>2</v>
      </c>
      <c r="B7" s="67"/>
      <c r="C7" s="68"/>
      <c r="D7" s="69" t="s">
        <v>6</v>
      </c>
      <c r="E7" s="67"/>
      <c r="F7" s="68"/>
      <c r="G7" s="69" t="s">
        <v>7</v>
      </c>
      <c r="H7" s="68"/>
      <c r="I7" s="439" t="s">
        <v>10</v>
      </c>
      <c r="J7" s="434" t="s">
        <v>33</v>
      </c>
    </row>
    <row r="8" spans="1:10" ht="18" customHeight="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40"/>
      <c r="J8" s="435"/>
    </row>
    <row r="9" spans="1:10" ht="18" customHeight="1" x14ac:dyDescent="0.25">
      <c r="A9" s="18">
        <v>2</v>
      </c>
      <c r="B9" s="10">
        <v>6</v>
      </c>
      <c r="C9" s="138" t="s">
        <v>315</v>
      </c>
      <c r="D9" s="9">
        <v>2</v>
      </c>
      <c r="E9" s="10">
        <v>6</v>
      </c>
      <c r="F9" s="138" t="s">
        <v>316</v>
      </c>
      <c r="G9" s="12">
        <v>0.5</v>
      </c>
      <c r="H9" s="272">
        <v>84366</v>
      </c>
      <c r="I9" s="14">
        <v>42183</v>
      </c>
      <c r="J9" s="166"/>
    </row>
    <row r="10" spans="1:10" ht="18" customHeight="1" x14ac:dyDescent="0.25">
      <c r="A10" s="18">
        <v>2</v>
      </c>
      <c r="B10" s="10">
        <v>6</v>
      </c>
      <c r="C10" s="138" t="s">
        <v>275</v>
      </c>
      <c r="D10" s="19">
        <v>3</v>
      </c>
      <c r="E10" s="10">
        <v>6</v>
      </c>
      <c r="F10" s="138" t="s">
        <v>318</v>
      </c>
      <c r="G10" s="12">
        <v>0.5</v>
      </c>
      <c r="H10" s="272">
        <v>84366</v>
      </c>
      <c r="I10" s="14">
        <v>42183</v>
      </c>
      <c r="J10" s="166"/>
    </row>
    <row r="11" spans="1:10" ht="18" customHeight="1" x14ac:dyDescent="0.25">
      <c r="A11" s="9">
        <v>5</v>
      </c>
      <c r="B11" s="10">
        <v>6</v>
      </c>
      <c r="C11" s="138" t="s">
        <v>320</v>
      </c>
      <c r="D11" s="19">
        <v>5</v>
      </c>
      <c r="E11" s="10">
        <v>6</v>
      </c>
      <c r="F11" s="138" t="s">
        <v>213</v>
      </c>
      <c r="G11" s="12">
        <v>0.5</v>
      </c>
      <c r="H11" s="272">
        <v>84366</v>
      </c>
      <c r="I11" s="14">
        <v>42183</v>
      </c>
      <c r="J11" s="166"/>
    </row>
    <row r="12" spans="1:10" ht="18" customHeight="1" x14ac:dyDescent="0.25">
      <c r="A12" s="9">
        <v>5</v>
      </c>
      <c r="B12" s="10">
        <v>6</v>
      </c>
      <c r="C12" s="138" t="s">
        <v>288</v>
      </c>
      <c r="D12" s="19">
        <v>6</v>
      </c>
      <c r="E12" s="10">
        <v>6</v>
      </c>
      <c r="F12" s="138" t="s">
        <v>328</v>
      </c>
      <c r="G12" s="12">
        <v>0.5</v>
      </c>
      <c r="H12" s="272">
        <v>84366</v>
      </c>
      <c r="I12" s="14">
        <v>42183</v>
      </c>
      <c r="J12" s="166"/>
    </row>
    <row r="13" spans="1:10" ht="18" customHeight="1" x14ac:dyDescent="0.25">
      <c r="A13" s="9">
        <v>7</v>
      </c>
      <c r="B13" s="10">
        <v>6</v>
      </c>
      <c r="C13" s="138" t="s">
        <v>124</v>
      </c>
      <c r="D13" s="9">
        <v>8</v>
      </c>
      <c r="E13" s="10">
        <v>6</v>
      </c>
      <c r="F13" s="138" t="s">
        <v>328</v>
      </c>
      <c r="G13" s="12">
        <v>0.5</v>
      </c>
      <c r="H13" s="272">
        <v>84366</v>
      </c>
      <c r="I13" s="14">
        <v>42183</v>
      </c>
      <c r="J13" s="166"/>
    </row>
    <row r="14" spans="1:10" ht="18" customHeight="1" x14ac:dyDescent="0.25">
      <c r="A14" s="367">
        <v>9</v>
      </c>
      <c r="B14" s="368">
        <v>6</v>
      </c>
      <c r="C14" s="138" t="s">
        <v>339</v>
      </c>
      <c r="D14" s="369">
        <v>9</v>
      </c>
      <c r="E14" s="368">
        <v>6</v>
      </c>
      <c r="F14" s="138" t="s">
        <v>272</v>
      </c>
      <c r="G14" s="12">
        <v>0.5</v>
      </c>
      <c r="H14" s="272">
        <v>84366</v>
      </c>
      <c r="I14" s="14">
        <v>42183</v>
      </c>
      <c r="J14" s="166"/>
    </row>
    <row r="15" spans="1:10" ht="18" customHeight="1" x14ac:dyDescent="0.25">
      <c r="A15" s="9">
        <v>12</v>
      </c>
      <c r="B15" s="10">
        <v>6</v>
      </c>
      <c r="C15" s="138" t="s">
        <v>187</v>
      </c>
      <c r="D15" s="18">
        <v>12</v>
      </c>
      <c r="E15" s="10">
        <v>6</v>
      </c>
      <c r="F15" s="138" t="s">
        <v>204</v>
      </c>
      <c r="G15" s="12">
        <v>0.5</v>
      </c>
      <c r="H15" s="272">
        <v>84366</v>
      </c>
      <c r="I15" s="14">
        <v>42183</v>
      </c>
      <c r="J15" s="166"/>
    </row>
    <row r="16" spans="1:10" ht="18" customHeight="1" x14ac:dyDescent="0.25">
      <c r="A16" s="9">
        <v>17</v>
      </c>
      <c r="B16" s="10">
        <v>6</v>
      </c>
      <c r="C16" s="138" t="s">
        <v>189</v>
      </c>
      <c r="D16" s="19">
        <v>17</v>
      </c>
      <c r="E16" s="10">
        <v>6</v>
      </c>
      <c r="F16" s="138" t="s">
        <v>275</v>
      </c>
      <c r="G16" s="12">
        <v>0.5</v>
      </c>
      <c r="H16" s="272">
        <v>84366</v>
      </c>
      <c r="I16" s="14">
        <v>42183</v>
      </c>
      <c r="J16" s="106"/>
    </row>
    <row r="17" spans="1:10" ht="18" customHeight="1" x14ac:dyDescent="0.25">
      <c r="A17" s="9">
        <v>24</v>
      </c>
      <c r="B17" s="10">
        <v>6</v>
      </c>
      <c r="C17" s="138" t="s">
        <v>279</v>
      </c>
      <c r="D17" s="19">
        <v>25</v>
      </c>
      <c r="E17" s="10">
        <v>6</v>
      </c>
      <c r="F17" s="138" t="s">
        <v>374</v>
      </c>
      <c r="G17" s="12">
        <v>0.5</v>
      </c>
      <c r="H17" s="272">
        <v>84366</v>
      </c>
      <c r="I17" s="14">
        <v>42183</v>
      </c>
      <c r="J17" s="106"/>
    </row>
    <row r="18" spans="1:10" ht="18" customHeight="1" x14ac:dyDescent="0.25">
      <c r="A18" s="9">
        <v>24</v>
      </c>
      <c r="B18" s="10">
        <v>6</v>
      </c>
      <c r="C18" s="138" t="s">
        <v>187</v>
      </c>
      <c r="D18" s="9">
        <v>24</v>
      </c>
      <c r="E18" s="10">
        <v>6</v>
      </c>
      <c r="F18" s="138" t="s">
        <v>204</v>
      </c>
      <c r="G18" s="12">
        <v>0.5</v>
      </c>
      <c r="H18" s="272">
        <v>84366</v>
      </c>
      <c r="I18" s="14">
        <v>42183</v>
      </c>
      <c r="J18" s="106"/>
    </row>
    <row r="19" spans="1:10" ht="18" customHeight="1" x14ac:dyDescent="0.25">
      <c r="A19" s="9">
        <v>25</v>
      </c>
      <c r="B19" s="10">
        <v>6</v>
      </c>
      <c r="C19" s="138" t="s">
        <v>382</v>
      </c>
      <c r="D19" s="19">
        <v>25</v>
      </c>
      <c r="E19" s="10">
        <v>6</v>
      </c>
      <c r="F19" s="138" t="s">
        <v>204</v>
      </c>
      <c r="G19" s="12">
        <v>0.5</v>
      </c>
      <c r="H19" s="272">
        <v>84366</v>
      </c>
      <c r="I19" s="14">
        <v>42183</v>
      </c>
      <c r="J19" s="106"/>
    </row>
    <row r="20" spans="1:10" ht="18" customHeight="1" x14ac:dyDescent="0.25">
      <c r="A20" s="9">
        <v>26</v>
      </c>
      <c r="B20" s="10">
        <v>6</v>
      </c>
      <c r="C20" s="138" t="s">
        <v>388</v>
      </c>
      <c r="D20" s="19">
        <v>26</v>
      </c>
      <c r="E20" s="10">
        <v>6</v>
      </c>
      <c r="F20" s="138" t="s">
        <v>389</v>
      </c>
      <c r="G20" s="12">
        <v>0.5</v>
      </c>
      <c r="H20" s="272">
        <v>84366</v>
      </c>
      <c r="I20" s="14">
        <v>42183</v>
      </c>
      <c r="J20" s="106"/>
    </row>
    <row r="21" spans="1:10" ht="18" customHeight="1" x14ac:dyDescent="0.25">
      <c r="A21" s="9">
        <v>29</v>
      </c>
      <c r="B21" s="10">
        <v>6</v>
      </c>
      <c r="C21" s="138" t="s">
        <v>361</v>
      </c>
      <c r="D21" s="351">
        <v>29</v>
      </c>
      <c r="E21" s="10">
        <v>6</v>
      </c>
      <c r="F21" s="138" t="s">
        <v>213</v>
      </c>
      <c r="G21" s="12">
        <v>0.5</v>
      </c>
      <c r="H21" s="272">
        <v>84366</v>
      </c>
      <c r="I21" s="14">
        <v>42183</v>
      </c>
      <c r="J21" s="106"/>
    </row>
    <row r="22" spans="1:10" ht="18" customHeight="1" x14ac:dyDescent="0.25">
      <c r="A22" s="9">
        <v>30</v>
      </c>
      <c r="B22" s="10">
        <v>6</v>
      </c>
      <c r="C22" s="138" t="s">
        <v>245</v>
      </c>
      <c r="D22" s="19">
        <v>30</v>
      </c>
      <c r="E22" s="10">
        <v>6</v>
      </c>
      <c r="F22" s="138" t="s">
        <v>86</v>
      </c>
      <c r="G22" s="12">
        <v>0.5</v>
      </c>
      <c r="H22" s="272">
        <v>84366</v>
      </c>
      <c r="I22" s="14">
        <v>42183</v>
      </c>
      <c r="J22" s="106"/>
    </row>
    <row r="23" spans="1:10" ht="18" customHeight="1" x14ac:dyDescent="0.25">
      <c r="A23" s="9"/>
      <c r="B23" s="10"/>
      <c r="C23" s="138"/>
      <c r="D23" s="19"/>
      <c r="E23" s="10"/>
      <c r="F23" s="138"/>
      <c r="G23" s="12"/>
      <c r="H23" s="272"/>
      <c r="I23" s="14"/>
      <c r="J23" s="106"/>
    </row>
    <row r="24" spans="1:10" ht="18" customHeight="1" x14ac:dyDescent="0.25">
      <c r="A24" s="9"/>
      <c r="B24" s="10"/>
      <c r="C24" s="138"/>
      <c r="D24" s="19"/>
      <c r="E24" s="10"/>
      <c r="F24" s="138"/>
      <c r="G24" s="12"/>
      <c r="H24" s="272"/>
      <c r="I24" s="14"/>
      <c r="J24" s="167"/>
    </row>
    <row r="25" spans="1:10" ht="18" customHeight="1" x14ac:dyDescent="0.25">
      <c r="A25" s="9"/>
      <c r="B25" s="10"/>
      <c r="C25" s="138"/>
      <c r="D25" s="19"/>
      <c r="E25" s="10"/>
      <c r="F25" s="138"/>
      <c r="G25" s="12"/>
      <c r="H25" s="272"/>
      <c r="I25" s="14"/>
      <c r="J25" s="167"/>
    </row>
    <row r="26" spans="1:10" ht="18" customHeight="1" x14ac:dyDescent="0.25">
      <c r="A26" s="9"/>
      <c r="B26" s="10"/>
      <c r="C26" s="138"/>
      <c r="D26" s="9"/>
      <c r="E26" s="10"/>
      <c r="F26" s="138"/>
      <c r="G26" s="12"/>
      <c r="H26" s="13"/>
      <c r="I26" s="14"/>
      <c r="J26" s="167"/>
    </row>
    <row r="27" spans="1:10" ht="18" customHeight="1" x14ac:dyDescent="0.25">
      <c r="A27" s="9"/>
      <c r="B27" s="10"/>
      <c r="C27" s="138"/>
      <c r="D27" s="9"/>
      <c r="E27" s="10"/>
      <c r="F27" s="138"/>
      <c r="G27" s="12"/>
      <c r="H27" s="13"/>
      <c r="I27" s="14"/>
      <c r="J27" s="167"/>
    </row>
    <row r="28" spans="1:10" ht="18" customHeight="1" x14ac:dyDescent="0.25">
      <c r="A28" s="403"/>
      <c r="B28" s="404"/>
      <c r="C28" s="403"/>
      <c r="D28" s="404"/>
      <c r="E28" s="403"/>
      <c r="F28" s="405"/>
      <c r="G28" s="405"/>
      <c r="H28" s="404"/>
      <c r="I28" s="159"/>
      <c r="J28" s="167"/>
    </row>
    <row r="29" spans="1:10" ht="18" customHeight="1" thickBot="1" x14ac:dyDescent="0.3">
      <c r="A29" s="444"/>
      <c r="B29" s="445"/>
      <c r="C29" s="153"/>
      <c r="D29" s="154"/>
      <c r="E29" s="444"/>
      <c r="F29" s="446"/>
      <c r="G29" s="446"/>
      <c r="H29" s="445"/>
      <c r="I29" s="160"/>
      <c r="J29" s="167"/>
    </row>
    <row r="30" spans="1:10" ht="18" customHeight="1" thickBot="1" x14ac:dyDescent="0.3">
      <c r="A30" s="441" t="s">
        <v>37</v>
      </c>
      <c r="B30" s="442"/>
      <c r="C30" s="442"/>
      <c r="D30" s="442"/>
      <c r="E30" s="442"/>
      <c r="F30" s="442"/>
      <c r="G30" s="442"/>
      <c r="H30" s="443"/>
      <c r="I30" s="161">
        <f>SUM(I9:I25)</f>
        <v>590562</v>
      </c>
      <c r="J30" s="167"/>
    </row>
    <row r="31" spans="1:10" ht="18" customHeight="1" x14ac:dyDescent="0.25">
      <c r="A31" s="82"/>
      <c r="B31" s="83"/>
      <c r="C31" s="83"/>
      <c r="D31" s="83"/>
      <c r="E31" s="83"/>
      <c r="F31" s="83"/>
      <c r="G31" s="83"/>
      <c r="H31" s="84"/>
      <c r="I31" s="162"/>
      <c r="J31" s="167"/>
    </row>
    <row r="32" spans="1:10" ht="18" customHeight="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</row>
    <row r="33" spans="1:10" ht="18" customHeight="1" x14ac:dyDescent="0.25">
      <c r="A33" s="438" t="s">
        <v>432</v>
      </c>
      <c r="B33" s="438"/>
      <c r="C33" s="438"/>
      <c r="D33" s="438"/>
      <c r="E33" s="438"/>
      <c r="F33" s="438"/>
      <c r="G33" s="438"/>
      <c r="H33" s="438"/>
      <c r="I33" s="438"/>
      <c r="J33" s="438"/>
    </row>
    <row r="34" spans="1:10" ht="18" customHeight="1" x14ac:dyDescent="0.25">
      <c r="A34" s="438"/>
      <c r="B34" s="438"/>
      <c r="C34" s="438"/>
      <c r="D34" s="438"/>
      <c r="E34" s="438"/>
      <c r="F34" s="438"/>
      <c r="G34" s="438"/>
      <c r="H34" s="438"/>
      <c r="I34" s="438"/>
      <c r="J34" s="438"/>
    </row>
    <row r="35" spans="1:10" ht="18" customHeight="1" x14ac:dyDescent="0.25">
      <c r="A35" s="87"/>
      <c r="B35" s="86"/>
      <c r="C35" s="86"/>
      <c r="D35" s="86"/>
      <c r="E35" s="86"/>
      <c r="F35" s="86"/>
      <c r="G35" s="86"/>
      <c r="H35" s="86"/>
      <c r="I35" s="86"/>
      <c r="J35" s="88"/>
    </row>
    <row r="36" spans="1:10" ht="18" customHeight="1" x14ac:dyDescent="0.25">
      <c r="A36" s="89"/>
      <c r="B36" s="89"/>
      <c r="C36" s="89"/>
      <c r="D36" s="89"/>
      <c r="E36" s="89"/>
      <c r="F36" s="90"/>
      <c r="G36" s="90"/>
      <c r="H36" s="389" t="s">
        <v>146</v>
      </c>
      <c r="I36" s="389"/>
      <c r="J36" s="389"/>
    </row>
    <row r="37" spans="1:10" ht="18" customHeight="1" x14ac:dyDescent="0.25">
      <c r="A37" s="89"/>
      <c r="B37" s="89"/>
      <c r="C37" s="89"/>
      <c r="D37" s="89"/>
      <c r="E37" s="89"/>
      <c r="F37" s="90"/>
      <c r="G37" s="90"/>
      <c r="H37" s="437" t="s">
        <v>38</v>
      </c>
      <c r="I37" s="437"/>
      <c r="J37" s="437"/>
    </row>
    <row r="38" spans="1:10" ht="18" customHeight="1" x14ac:dyDescent="0.25">
      <c r="A38" s="89"/>
      <c r="B38" s="89"/>
      <c r="C38" s="90"/>
      <c r="D38" s="90"/>
      <c r="E38" s="90"/>
      <c r="F38" s="90"/>
      <c r="G38" s="90"/>
      <c r="H38" s="90"/>
      <c r="I38" s="88"/>
    </row>
    <row r="39" spans="1:10" ht="18" customHeight="1" x14ac:dyDescent="0.25">
      <c r="A39" s="89"/>
      <c r="B39" s="89"/>
      <c r="C39" s="90"/>
      <c r="D39" s="90"/>
      <c r="E39" s="90"/>
      <c r="F39" s="90"/>
      <c r="G39" s="90"/>
      <c r="H39" s="90"/>
      <c r="I39" s="86"/>
    </row>
    <row r="40" spans="1:10" ht="18" customHeight="1" x14ac:dyDescent="0.25">
      <c r="A40" s="91" t="s">
        <v>39</v>
      </c>
      <c r="B40" s="89"/>
      <c r="C40" s="89"/>
      <c r="D40" s="89"/>
      <c r="E40" s="89"/>
      <c r="F40" s="89"/>
      <c r="G40" s="89"/>
      <c r="H40" s="436" t="s">
        <v>55</v>
      </c>
      <c r="I40" s="436"/>
      <c r="J40" s="436"/>
    </row>
    <row r="41" spans="1:10" ht="18" customHeight="1" x14ac:dyDescent="0.25">
      <c r="A41" s="91" t="s">
        <v>398</v>
      </c>
      <c r="B41" s="89"/>
      <c r="C41" s="90"/>
      <c r="D41" s="90"/>
      <c r="E41" s="90"/>
      <c r="F41" s="89"/>
      <c r="G41" s="89"/>
      <c r="H41" s="436" t="s">
        <v>40</v>
      </c>
      <c r="I41" s="436"/>
      <c r="J41" s="436"/>
    </row>
    <row r="42" spans="1:10" ht="18" customHeight="1" x14ac:dyDescent="0.25">
      <c r="A42" s="89"/>
      <c r="B42" s="89"/>
      <c r="C42" s="90"/>
      <c r="D42" s="90"/>
      <c r="E42" s="90"/>
      <c r="F42" s="90"/>
      <c r="G42" s="90"/>
      <c r="H42" s="90"/>
      <c r="I42" s="86"/>
    </row>
    <row r="43" spans="1:10" ht="18" customHeight="1" x14ac:dyDescent="0.25">
      <c r="A43" s="89"/>
      <c r="B43" s="89"/>
      <c r="C43" s="90"/>
      <c r="D43" s="90"/>
      <c r="E43" s="90"/>
      <c r="F43" s="90"/>
      <c r="G43" s="90"/>
      <c r="H43" s="90"/>
    </row>
    <row r="44" spans="1:10" ht="18" customHeight="1" x14ac:dyDescent="0.25">
      <c r="A44" s="86"/>
      <c r="B44" s="86"/>
      <c r="C44" s="86"/>
      <c r="D44" s="86"/>
      <c r="E44" s="86"/>
      <c r="F44" s="86"/>
      <c r="G44" s="86"/>
      <c r="H44" s="86"/>
      <c r="I44" s="88"/>
    </row>
    <row r="45" spans="1:10" ht="18" customHeight="1" x14ac:dyDescent="0.25">
      <c r="A45" s="92"/>
      <c r="B45" s="86"/>
      <c r="C45" s="86"/>
      <c r="D45" s="86"/>
      <c r="E45" s="86"/>
      <c r="F45" s="86"/>
      <c r="G45" s="86"/>
      <c r="H45" s="86"/>
      <c r="I45" s="86"/>
    </row>
  </sheetData>
  <mergeCells count="18">
    <mergeCell ref="H41:J41"/>
    <mergeCell ref="A4:I4"/>
    <mergeCell ref="A33:J34"/>
    <mergeCell ref="H36:J36"/>
    <mergeCell ref="A5:I5"/>
    <mergeCell ref="I7:I8"/>
    <mergeCell ref="A30:H30"/>
    <mergeCell ref="A28:B28"/>
    <mergeCell ref="C28:D28"/>
    <mergeCell ref="E28:H28"/>
    <mergeCell ref="A29:B29"/>
    <mergeCell ref="E29:H29"/>
    <mergeCell ref="A1:J1"/>
    <mergeCell ref="A2:I2"/>
    <mergeCell ref="A3:I3"/>
    <mergeCell ref="J7:J8"/>
    <mergeCell ref="H40:J40"/>
    <mergeCell ref="H37:J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J44"/>
  <sheetViews>
    <sheetView workbookViewId="0">
      <selection activeCell="M11" sqref="M11"/>
    </sheetView>
  </sheetViews>
  <sheetFormatPr baseColWidth="10" defaultRowHeight="15" x14ac:dyDescent="0.25"/>
  <cols>
    <col min="1" max="1" width="4.85546875" customWidth="1"/>
    <col min="2" max="2" width="5.85546875" customWidth="1"/>
    <col min="3" max="3" width="8" customWidth="1"/>
    <col min="4" max="4" width="6.42578125" customWidth="1"/>
    <col min="5" max="5" width="5.5703125" customWidth="1"/>
    <col min="6" max="6" width="7.42578125" customWidth="1"/>
    <col min="7" max="7" width="6" customWidth="1"/>
    <col min="8" max="9" width="13" customWidth="1"/>
    <col min="10" max="10" width="16.28515625" customWidth="1"/>
  </cols>
  <sheetData>
    <row r="1" spans="1:10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27"/>
    </row>
    <row r="2" spans="1:10" x14ac:dyDescent="0.25">
      <c r="A2" s="429" t="s">
        <v>41</v>
      </c>
      <c r="B2" s="430"/>
      <c r="C2" s="430"/>
      <c r="D2" s="430"/>
      <c r="E2" s="430"/>
      <c r="F2" s="430"/>
      <c r="G2" s="430"/>
      <c r="H2" s="430"/>
      <c r="I2" s="430"/>
      <c r="J2" s="163" t="s">
        <v>29</v>
      </c>
    </row>
    <row r="3" spans="1:10" x14ac:dyDescent="0.25">
      <c r="A3" s="429" t="s">
        <v>134</v>
      </c>
      <c r="B3" s="430"/>
      <c r="C3" s="430"/>
      <c r="D3" s="430"/>
      <c r="E3" s="430"/>
      <c r="F3" s="430"/>
      <c r="G3" s="430"/>
      <c r="H3" s="430"/>
      <c r="I3" s="430"/>
      <c r="J3" s="164" t="s">
        <v>11</v>
      </c>
    </row>
    <row r="4" spans="1:10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7"/>
      <c r="J4" s="165"/>
    </row>
    <row r="5" spans="1:10" x14ac:dyDescent="0.25">
      <c r="A5" s="406" t="s">
        <v>399</v>
      </c>
      <c r="B5" s="410"/>
      <c r="C5" s="410"/>
      <c r="D5" s="410"/>
      <c r="E5" s="410"/>
      <c r="F5" s="410"/>
      <c r="G5" s="410"/>
      <c r="H5" s="410"/>
      <c r="I5" s="410"/>
      <c r="J5" s="165"/>
    </row>
    <row r="6" spans="1:10" x14ac:dyDescent="0.25">
      <c r="A6" s="157"/>
      <c r="B6" s="158"/>
      <c r="C6" s="158"/>
      <c r="D6" s="158"/>
      <c r="E6" s="158"/>
      <c r="F6" s="158"/>
      <c r="G6" s="158"/>
      <c r="H6" s="158"/>
      <c r="I6" s="158"/>
      <c r="J6" s="166"/>
    </row>
    <row r="7" spans="1:10" x14ac:dyDescent="0.25">
      <c r="A7" s="66" t="s">
        <v>2</v>
      </c>
      <c r="B7" s="208"/>
      <c r="C7" s="209"/>
      <c r="D7" s="207" t="s">
        <v>6</v>
      </c>
      <c r="E7" s="208"/>
      <c r="F7" s="209"/>
      <c r="G7" s="207" t="s">
        <v>7</v>
      </c>
      <c r="H7" s="209"/>
      <c r="I7" s="439" t="s">
        <v>10</v>
      </c>
      <c r="J7" s="434" t="s">
        <v>33</v>
      </c>
    </row>
    <row r="8" spans="1:10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40"/>
      <c r="J8" s="435"/>
    </row>
    <row r="9" spans="1:10" x14ac:dyDescent="0.25">
      <c r="A9" s="9">
        <v>4</v>
      </c>
      <c r="B9" s="10">
        <v>6</v>
      </c>
      <c r="C9" s="138" t="s">
        <v>325</v>
      </c>
      <c r="D9" s="9">
        <v>4</v>
      </c>
      <c r="E9" s="10">
        <v>6</v>
      </c>
      <c r="F9" s="138" t="s">
        <v>230</v>
      </c>
      <c r="G9" s="12">
        <v>0.5</v>
      </c>
      <c r="H9" s="272">
        <v>84366</v>
      </c>
      <c r="I9" s="14">
        <v>42183</v>
      </c>
      <c r="J9" s="166"/>
    </row>
    <row r="10" spans="1:10" x14ac:dyDescent="0.25">
      <c r="A10" s="9">
        <v>8</v>
      </c>
      <c r="B10" s="10">
        <v>6</v>
      </c>
      <c r="C10" s="138" t="s">
        <v>325</v>
      </c>
      <c r="D10" s="19">
        <v>8</v>
      </c>
      <c r="E10" s="10">
        <v>6</v>
      </c>
      <c r="F10" s="138" t="s">
        <v>230</v>
      </c>
      <c r="G10" s="12">
        <v>0.5</v>
      </c>
      <c r="H10" s="272">
        <v>84366</v>
      </c>
      <c r="I10" s="14">
        <v>42183</v>
      </c>
      <c r="J10" s="166"/>
    </row>
    <row r="11" spans="1:10" x14ac:dyDescent="0.25">
      <c r="A11" s="9">
        <v>9</v>
      </c>
      <c r="B11" s="10">
        <v>6</v>
      </c>
      <c r="C11" s="138" t="s">
        <v>336</v>
      </c>
      <c r="D11" s="22">
        <v>9</v>
      </c>
      <c r="E11" s="10">
        <v>6</v>
      </c>
      <c r="F11" s="138" t="s">
        <v>215</v>
      </c>
      <c r="G11" s="12">
        <v>0.5</v>
      </c>
      <c r="H11" s="272">
        <v>84366</v>
      </c>
      <c r="I11" s="14">
        <v>42183</v>
      </c>
      <c r="J11" s="166"/>
    </row>
    <row r="12" spans="1:10" x14ac:dyDescent="0.25">
      <c r="A12" s="244">
        <v>11</v>
      </c>
      <c r="B12" s="10">
        <v>6</v>
      </c>
      <c r="C12" s="138" t="s">
        <v>213</v>
      </c>
      <c r="D12" s="246">
        <v>11</v>
      </c>
      <c r="E12" s="10">
        <v>6</v>
      </c>
      <c r="F12" s="138" t="s">
        <v>344</v>
      </c>
      <c r="G12" s="247">
        <v>0.5</v>
      </c>
      <c r="H12" s="272">
        <v>84366</v>
      </c>
      <c r="I12" s="14">
        <v>42183</v>
      </c>
      <c r="J12" s="166"/>
    </row>
    <row r="13" spans="1:10" x14ac:dyDescent="0.25">
      <c r="A13" s="9">
        <v>13</v>
      </c>
      <c r="B13" s="10">
        <v>6</v>
      </c>
      <c r="C13" s="138" t="s">
        <v>348</v>
      </c>
      <c r="D13" s="19">
        <v>13</v>
      </c>
      <c r="E13" s="10">
        <v>6</v>
      </c>
      <c r="F13" s="138" t="s">
        <v>74</v>
      </c>
      <c r="G13" s="12">
        <v>0.5</v>
      </c>
      <c r="H13" s="272">
        <v>84366</v>
      </c>
      <c r="I13" s="14">
        <v>42183</v>
      </c>
      <c r="J13" s="166"/>
    </row>
    <row r="14" spans="1:10" x14ac:dyDescent="0.25">
      <c r="A14" s="9">
        <v>17</v>
      </c>
      <c r="B14" s="10">
        <v>6</v>
      </c>
      <c r="C14" s="138" t="s">
        <v>188</v>
      </c>
      <c r="D14" s="9">
        <v>17</v>
      </c>
      <c r="E14" s="10">
        <v>6</v>
      </c>
      <c r="F14" s="138" t="s">
        <v>354</v>
      </c>
      <c r="G14" s="12">
        <v>0.5</v>
      </c>
      <c r="H14" s="272">
        <v>84366</v>
      </c>
      <c r="I14" s="14">
        <v>42183</v>
      </c>
      <c r="J14" s="166"/>
    </row>
    <row r="15" spans="1:10" x14ac:dyDescent="0.25">
      <c r="A15" s="9">
        <v>18</v>
      </c>
      <c r="B15" s="10">
        <v>6</v>
      </c>
      <c r="C15" s="138" t="s">
        <v>312</v>
      </c>
      <c r="D15" s="9">
        <v>18</v>
      </c>
      <c r="E15" s="10">
        <v>6</v>
      </c>
      <c r="F15" s="138" t="s">
        <v>358</v>
      </c>
      <c r="G15" s="12">
        <v>0.5</v>
      </c>
      <c r="H15" s="272">
        <v>84366</v>
      </c>
      <c r="I15" s="14">
        <v>42183</v>
      </c>
      <c r="J15" s="166"/>
    </row>
    <row r="16" spans="1:10" x14ac:dyDescent="0.25">
      <c r="A16" s="9">
        <v>23</v>
      </c>
      <c r="B16" s="10">
        <v>6</v>
      </c>
      <c r="C16" s="138" t="s">
        <v>336</v>
      </c>
      <c r="D16" s="9">
        <v>23</v>
      </c>
      <c r="E16" s="10">
        <v>6</v>
      </c>
      <c r="F16" s="138" t="s">
        <v>71</v>
      </c>
      <c r="G16" s="12">
        <v>1</v>
      </c>
      <c r="H16" s="272">
        <v>84366</v>
      </c>
      <c r="I16" s="14">
        <v>84366</v>
      </c>
      <c r="J16" s="106"/>
    </row>
    <row r="17" spans="1:10" x14ac:dyDescent="0.25">
      <c r="A17" s="9">
        <v>27</v>
      </c>
      <c r="B17" s="10">
        <v>6</v>
      </c>
      <c r="C17" s="138" t="s">
        <v>391</v>
      </c>
      <c r="D17" s="19">
        <v>27</v>
      </c>
      <c r="E17" s="10">
        <v>6</v>
      </c>
      <c r="F17" s="138" t="s">
        <v>276</v>
      </c>
      <c r="G17" s="12">
        <v>0.5</v>
      </c>
      <c r="H17" s="272">
        <v>84366</v>
      </c>
      <c r="I17" s="14">
        <v>42183</v>
      </c>
      <c r="J17" s="106"/>
    </row>
    <row r="18" spans="1:10" x14ac:dyDescent="0.25">
      <c r="A18" s="9">
        <v>29</v>
      </c>
      <c r="B18" s="10">
        <v>6</v>
      </c>
      <c r="C18" s="138" t="s">
        <v>391</v>
      </c>
      <c r="D18" s="19">
        <v>29</v>
      </c>
      <c r="E18" s="10">
        <v>6</v>
      </c>
      <c r="F18" s="138" t="s">
        <v>276</v>
      </c>
      <c r="G18" s="12">
        <v>0.5</v>
      </c>
      <c r="H18" s="272">
        <v>84366</v>
      </c>
      <c r="I18" s="14">
        <v>42183</v>
      </c>
      <c r="J18" s="106"/>
    </row>
    <row r="19" spans="1:10" x14ac:dyDescent="0.25">
      <c r="A19" s="9">
        <v>30</v>
      </c>
      <c r="B19" s="10">
        <v>6</v>
      </c>
      <c r="C19" s="138" t="s">
        <v>395</v>
      </c>
      <c r="D19" s="19">
        <v>30</v>
      </c>
      <c r="E19" s="10">
        <v>6</v>
      </c>
      <c r="F19" s="138" t="s">
        <v>246</v>
      </c>
      <c r="G19" s="12">
        <v>0.5</v>
      </c>
      <c r="H19" s="272">
        <v>84366</v>
      </c>
      <c r="I19" s="14">
        <v>42183</v>
      </c>
      <c r="J19" s="106"/>
    </row>
    <row r="20" spans="1:10" x14ac:dyDescent="0.25">
      <c r="A20" s="9"/>
      <c r="B20" s="10"/>
      <c r="C20" s="138"/>
      <c r="D20" s="19"/>
      <c r="E20" s="10"/>
      <c r="F20" s="138"/>
      <c r="G20" s="12"/>
      <c r="H20" s="272"/>
      <c r="I20" s="14"/>
      <c r="J20" s="106"/>
    </row>
    <row r="21" spans="1:10" x14ac:dyDescent="0.25">
      <c r="A21" s="9"/>
      <c r="B21" s="10"/>
      <c r="C21" s="138"/>
      <c r="D21" s="24"/>
      <c r="E21" s="10"/>
      <c r="F21" s="138"/>
      <c r="G21" s="12"/>
      <c r="H21" s="272"/>
      <c r="I21" s="14"/>
      <c r="J21" s="106"/>
    </row>
    <row r="22" spans="1:10" x14ac:dyDescent="0.25">
      <c r="A22" s="9"/>
      <c r="B22" s="10"/>
      <c r="C22" s="138"/>
      <c r="D22" s="9"/>
      <c r="E22" s="10"/>
      <c r="F22" s="138"/>
      <c r="G22" s="12"/>
      <c r="H22" s="272"/>
      <c r="I22" s="14"/>
      <c r="J22" s="106"/>
    </row>
    <row r="23" spans="1:10" x14ac:dyDescent="0.25">
      <c r="A23" s="9"/>
      <c r="B23" s="10"/>
      <c r="C23" s="138"/>
      <c r="D23" s="19"/>
      <c r="E23" s="10"/>
      <c r="F23" s="138"/>
      <c r="G23" s="12"/>
      <c r="H23" s="272"/>
      <c r="I23" s="14"/>
      <c r="J23" s="106"/>
    </row>
    <row r="24" spans="1:10" x14ac:dyDescent="0.25">
      <c r="A24" s="9"/>
      <c r="B24" s="10"/>
      <c r="C24" s="138"/>
      <c r="D24" s="19"/>
      <c r="E24" s="10"/>
      <c r="F24" s="138"/>
      <c r="G24" s="12"/>
      <c r="H24" s="272"/>
      <c r="I24" s="14"/>
      <c r="J24" s="167"/>
    </row>
    <row r="25" spans="1:10" x14ac:dyDescent="0.25">
      <c r="A25" s="9"/>
      <c r="B25" s="10"/>
      <c r="C25" s="138"/>
      <c r="D25" s="9"/>
      <c r="E25" s="10"/>
      <c r="F25" s="138"/>
      <c r="G25" s="12"/>
      <c r="H25" s="272"/>
      <c r="I25" s="14"/>
      <c r="J25" s="167"/>
    </row>
    <row r="26" spans="1:10" x14ac:dyDescent="0.25">
      <c r="A26" s="9"/>
      <c r="B26" s="10"/>
      <c r="C26" s="138"/>
      <c r="D26" s="19"/>
      <c r="E26" s="10"/>
      <c r="F26" s="138"/>
      <c r="G26" s="12"/>
      <c r="H26" s="272"/>
      <c r="I26" s="14"/>
      <c r="J26" s="167"/>
    </row>
    <row r="27" spans="1:10" s="228" customFormat="1" x14ac:dyDescent="0.25">
      <c r="A27" s="9"/>
      <c r="B27" s="10"/>
      <c r="C27" s="138"/>
      <c r="D27" s="19"/>
      <c r="E27" s="10"/>
      <c r="F27" s="138"/>
      <c r="G27" s="12"/>
      <c r="H27" s="272"/>
      <c r="I27" s="14"/>
      <c r="J27" s="167"/>
    </row>
    <row r="28" spans="1:10" s="228" customFormat="1" x14ac:dyDescent="0.25">
      <c r="A28" s="9"/>
      <c r="B28" s="10"/>
      <c r="C28" s="138"/>
      <c r="D28" s="19"/>
      <c r="E28" s="10"/>
      <c r="F28" s="138"/>
      <c r="G28" s="12"/>
      <c r="H28" s="272"/>
      <c r="I28" s="14"/>
      <c r="J28" s="167"/>
    </row>
    <row r="29" spans="1:10" x14ac:dyDescent="0.25">
      <c r="A29" s="9"/>
      <c r="B29" s="10"/>
      <c r="C29" s="138"/>
      <c r="D29" s="19"/>
      <c r="E29" s="10"/>
      <c r="F29" s="138"/>
      <c r="G29" s="12"/>
      <c r="H29" s="272"/>
      <c r="I29" s="14"/>
      <c r="J29" s="167"/>
    </row>
    <row r="30" spans="1:10" x14ac:dyDescent="0.25">
      <c r="A30" s="9"/>
      <c r="B30" s="10"/>
      <c r="C30" s="138"/>
      <c r="D30" s="19"/>
      <c r="E30" s="10"/>
      <c r="F30" s="138"/>
      <c r="G30" s="12"/>
      <c r="H30" s="272"/>
      <c r="I30" s="14"/>
      <c r="J30" s="167"/>
    </row>
    <row r="31" spans="1:10" ht="15.75" thickBot="1" x14ac:dyDescent="0.3">
      <c r="A31" s="444"/>
      <c r="B31" s="445"/>
      <c r="C31" s="153"/>
      <c r="D31" s="154"/>
      <c r="E31" s="444"/>
      <c r="F31" s="446"/>
      <c r="G31" s="446"/>
      <c r="H31" s="445"/>
      <c r="I31" s="160"/>
      <c r="J31" s="167"/>
    </row>
    <row r="32" spans="1:10" ht="15.75" thickBot="1" x14ac:dyDescent="0.3">
      <c r="A32" s="441" t="s">
        <v>37</v>
      </c>
      <c r="B32" s="442"/>
      <c r="C32" s="442"/>
      <c r="D32" s="442"/>
      <c r="E32" s="442"/>
      <c r="F32" s="442"/>
      <c r="G32" s="442"/>
      <c r="H32" s="443"/>
      <c r="I32" s="161">
        <f>SUM(I9:I29)</f>
        <v>506196</v>
      </c>
      <c r="J32" s="167"/>
    </row>
    <row r="33" spans="1:10" x14ac:dyDescent="0.25">
      <c r="A33" s="82"/>
      <c r="B33" s="83"/>
      <c r="C33" s="83"/>
      <c r="D33" s="83"/>
      <c r="E33" s="83"/>
      <c r="F33" s="83"/>
      <c r="G33" s="83"/>
      <c r="H33" s="84"/>
      <c r="I33" s="162"/>
      <c r="J33" s="167"/>
    </row>
    <row r="34" spans="1:10" x14ac:dyDescent="0.25">
      <c r="A34" s="86" t="s">
        <v>403</v>
      </c>
      <c r="B34" s="86"/>
      <c r="C34" s="86"/>
      <c r="D34" s="86"/>
      <c r="E34" s="86"/>
      <c r="F34" s="86"/>
      <c r="G34" s="86"/>
      <c r="H34" s="86"/>
      <c r="I34" s="86"/>
      <c r="J34" s="86"/>
    </row>
    <row r="35" spans="1:10" x14ac:dyDescent="0.25">
      <c r="A35" s="87"/>
      <c r="B35" s="86"/>
      <c r="C35" s="86"/>
      <c r="D35" s="86"/>
      <c r="E35" s="86"/>
      <c r="F35" s="86"/>
      <c r="G35" s="86"/>
      <c r="H35" s="86"/>
      <c r="I35" s="86"/>
      <c r="J35" s="211"/>
    </row>
    <row r="36" spans="1:10" x14ac:dyDescent="0.25">
      <c r="A36" s="212"/>
      <c r="B36" s="212"/>
      <c r="C36" s="212"/>
      <c r="D36" s="212"/>
      <c r="E36" s="212"/>
      <c r="F36" s="213"/>
      <c r="G36" s="213"/>
      <c r="H36" s="437" t="s">
        <v>55</v>
      </c>
      <c r="I36" s="437"/>
      <c r="J36" s="437"/>
    </row>
    <row r="37" spans="1:10" s="253" customFormat="1" x14ac:dyDescent="0.25">
      <c r="A37" s="250"/>
      <c r="B37" s="250"/>
      <c r="C37" s="251"/>
      <c r="D37" s="251"/>
      <c r="E37" s="251"/>
      <c r="F37" s="251"/>
      <c r="G37" s="251"/>
      <c r="H37" s="251"/>
      <c r="I37" s="252" t="s">
        <v>38</v>
      </c>
    </row>
    <row r="38" spans="1:10" x14ac:dyDescent="0.25">
      <c r="A38" s="212"/>
      <c r="B38" s="212"/>
      <c r="C38" s="213"/>
      <c r="D38" s="213"/>
      <c r="E38" s="213"/>
      <c r="F38" s="213"/>
      <c r="G38" s="213"/>
      <c r="H38" s="213"/>
      <c r="I38" s="86"/>
    </row>
    <row r="39" spans="1:10" x14ac:dyDescent="0.25">
      <c r="A39" s="216"/>
      <c r="B39" s="212"/>
      <c r="C39" s="212"/>
      <c r="D39" s="212"/>
      <c r="E39" s="212"/>
      <c r="F39" s="212"/>
      <c r="G39" s="212"/>
      <c r="H39" s="436"/>
      <c r="I39" s="436"/>
      <c r="J39" s="436"/>
    </row>
    <row r="40" spans="1:10" x14ac:dyDescent="0.25">
      <c r="A40" s="216" t="s">
        <v>39</v>
      </c>
      <c r="B40" s="212"/>
      <c r="C40" s="213"/>
      <c r="D40" s="213"/>
      <c r="E40" s="213"/>
      <c r="F40" s="212"/>
      <c r="G40" s="212"/>
      <c r="H40" s="436" t="s">
        <v>55</v>
      </c>
      <c r="I40" s="436"/>
      <c r="J40" s="436"/>
    </row>
    <row r="41" spans="1:10" x14ac:dyDescent="0.25">
      <c r="A41" s="212" t="s">
        <v>398</v>
      </c>
      <c r="B41" s="212"/>
      <c r="C41" s="213"/>
      <c r="D41" s="213"/>
      <c r="E41" s="213"/>
      <c r="F41" s="213"/>
      <c r="G41" s="213"/>
      <c r="H41" s="213" t="s">
        <v>148</v>
      </c>
      <c r="I41" s="86" t="s">
        <v>40</v>
      </c>
    </row>
    <row r="42" spans="1:10" x14ac:dyDescent="0.25">
      <c r="A42" s="212"/>
      <c r="B42" s="212"/>
      <c r="C42" s="213"/>
      <c r="D42" s="213"/>
      <c r="E42" s="213"/>
      <c r="F42" s="213"/>
      <c r="G42" s="213"/>
      <c r="H42" s="213"/>
    </row>
    <row r="43" spans="1:10" x14ac:dyDescent="0.25">
      <c r="A43" s="86"/>
      <c r="B43" s="86"/>
      <c r="C43" s="86"/>
      <c r="D43" s="86"/>
      <c r="E43" s="86"/>
      <c r="F43" s="86"/>
      <c r="G43" s="86"/>
      <c r="H43" s="86"/>
      <c r="I43" s="211"/>
    </row>
    <row r="44" spans="1:10" x14ac:dyDescent="0.25">
      <c r="A44" s="92"/>
      <c r="B44" s="86"/>
      <c r="C44" s="86"/>
      <c r="D44" s="86"/>
      <c r="E44" s="86"/>
      <c r="F44" s="86"/>
      <c r="G44" s="86"/>
      <c r="H44" s="86"/>
      <c r="I44" s="86"/>
    </row>
  </sheetData>
  <mergeCells count="13">
    <mergeCell ref="I7:I8"/>
    <mergeCell ref="J7:J8"/>
    <mergeCell ref="A1:J1"/>
    <mergeCell ref="A2:I2"/>
    <mergeCell ref="A3:I3"/>
    <mergeCell ref="A4:I4"/>
    <mergeCell ref="A5:I5"/>
    <mergeCell ref="H36:J36"/>
    <mergeCell ref="H40:J40"/>
    <mergeCell ref="H39:J39"/>
    <mergeCell ref="A32:H32"/>
    <mergeCell ref="A31:B31"/>
    <mergeCell ref="E31:H31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45"/>
  <sheetViews>
    <sheetView workbookViewId="0">
      <selection activeCell="B33" sqref="A33:XFD33"/>
    </sheetView>
  </sheetViews>
  <sheetFormatPr baseColWidth="10" defaultRowHeight="15" x14ac:dyDescent="0.25"/>
  <cols>
    <col min="1" max="1" width="7.5703125" customWidth="1"/>
    <col min="2" max="2" width="5.140625" customWidth="1"/>
    <col min="3" max="3" width="10" customWidth="1"/>
    <col min="4" max="4" width="5.28515625" customWidth="1"/>
    <col min="5" max="5" width="5.42578125" customWidth="1"/>
    <col min="6" max="6" width="7.42578125" customWidth="1"/>
    <col min="7" max="7" width="6.28515625" customWidth="1"/>
    <col min="8" max="8" width="11.140625" customWidth="1"/>
    <col min="9" max="9" width="13" customWidth="1"/>
    <col min="10" max="10" width="6" customWidth="1"/>
    <col min="11" max="11" width="9.7109375" customWidth="1"/>
  </cols>
  <sheetData>
    <row r="1" spans="1:11" ht="19.5" customHeight="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ht="19.5" customHeight="1" x14ac:dyDescent="0.25">
      <c r="A2" s="429" t="s">
        <v>42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ht="19.5" customHeight="1" x14ac:dyDescent="0.25">
      <c r="A3" s="429" t="s">
        <v>121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ht="19.5" customHeight="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ht="19.5" customHeight="1" x14ac:dyDescent="0.25">
      <c r="A5" s="406" t="s">
        <v>399</v>
      </c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ht="19.5" customHeight="1" x14ac:dyDescent="0.25">
      <c r="A6" s="415"/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ht="18" customHeight="1" x14ac:dyDescent="0.25">
      <c r="A7" s="66" t="s">
        <v>2</v>
      </c>
      <c r="B7" s="67"/>
      <c r="C7" s="68"/>
      <c r="D7" s="69" t="s">
        <v>6</v>
      </c>
      <c r="E7" s="67"/>
      <c r="F7" s="68"/>
      <c r="G7" s="69" t="s">
        <v>7</v>
      </c>
      <c r="H7" s="68"/>
      <c r="I7" s="418" t="s">
        <v>10</v>
      </c>
      <c r="J7" s="420" t="s">
        <v>33</v>
      </c>
      <c r="K7" s="421"/>
    </row>
    <row r="8" spans="1:11" ht="18" customHeight="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ht="18" customHeight="1" x14ac:dyDescent="0.25">
      <c r="A9" s="9">
        <v>2</v>
      </c>
      <c r="B9" s="10">
        <v>6</v>
      </c>
      <c r="C9" s="229">
        <v>4.1500000000000004</v>
      </c>
      <c r="D9" s="9">
        <v>2</v>
      </c>
      <c r="E9" s="10">
        <v>6</v>
      </c>
      <c r="F9" s="138" t="s">
        <v>71</v>
      </c>
      <c r="G9" s="12">
        <v>1</v>
      </c>
      <c r="H9" s="272">
        <v>84366</v>
      </c>
      <c r="I9" s="14">
        <v>84366</v>
      </c>
      <c r="J9" s="424"/>
      <c r="K9" s="425"/>
    </row>
    <row r="10" spans="1:11" ht="18" customHeight="1" x14ac:dyDescent="0.25">
      <c r="A10" s="9">
        <v>5</v>
      </c>
      <c r="B10" s="10">
        <v>6</v>
      </c>
      <c r="C10" s="138" t="s">
        <v>325</v>
      </c>
      <c r="D10" s="19">
        <v>5</v>
      </c>
      <c r="E10" s="10">
        <v>6</v>
      </c>
      <c r="F10" s="138" t="s">
        <v>326</v>
      </c>
      <c r="G10" s="12">
        <v>0.5</v>
      </c>
      <c r="H10" s="272">
        <v>84366</v>
      </c>
      <c r="I10" s="14">
        <v>42183</v>
      </c>
      <c r="J10" s="424"/>
      <c r="K10" s="425"/>
    </row>
    <row r="11" spans="1:11" ht="18" customHeight="1" x14ac:dyDescent="0.25">
      <c r="A11" s="9">
        <v>6</v>
      </c>
      <c r="B11" s="10">
        <v>6</v>
      </c>
      <c r="C11" s="138" t="s">
        <v>332</v>
      </c>
      <c r="D11" s="19">
        <v>6</v>
      </c>
      <c r="E11" s="10">
        <v>6</v>
      </c>
      <c r="F11" s="139" t="s">
        <v>244</v>
      </c>
      <c r="G11" s="12">
        <v>0.5</v>
      </c>
      <c r="H11" s="272">
        <v>84366</v>
      </c>
      <c r="I11" s="14">
        <v>42183</v>
      </c>
      <c r="J11" s="424"/>
      <c r="K11" s="425"/>
    </row>
    <row r="12" spans="1:11" ht="18" customHeight="1" x14ac:dyDescent="0.25">
      <c r="A12" s="9">
        <v>7</v>
      </c>
      <c r="B12" s="10">
        <v>6</v>
      </c>
      <c r="C12" s="138" t="s">
        <v>312</v>
      </c>
      <c r="D12" s="19">
        <v>7</v>
      </c>
      <c r="E12" s="10">
        <v>6</v>
      </c>
      <c r="F12" s="139" t="s">
        <v>210</v>
      </c>
      <c r="G12" s="12">
        <v>0.5</v>
      </c>
      <c r="H12" s="272">
        <v>84366</v>
      </c>
      <c r="I12" s="14">
        <v>42183</v>
      </c>
      <c r="J12" s="424"/>
      <c r="K12" s="425"/>
    </row>
    <row r="13" spans="1:11" ht="18" customHeight="1" x14ac:dyDescent="0.25">
      <c r="A13" s="9">
        <v>16</v>
      </c>
      <c r="B13" s="10">
        <v>6</v>
      </c>
      <c r="C13" s="138" t="s">
        <v>336</v>
      </c>
      <c r="D13" s="19">
        <v>16</v>
      </c>
      <c r="E13" s="10">
        <v>6</v>
      </c>
      <c r="F13" s="138" t="s">
        <v>71</v>
      </c>
      <c r="G13" s="12">
        <v>1</v>
      </c>
      <c r="H13" s="272">
        <v>84366</v>
      </c>
      <c r="I13" s="14">
        <v>84366</v>
      </c>
      <c r="J13" s="424"/>
      <c r="K13" s="425"/>
    </row>
    <row r="14" spans="1:11" ht="18" customHeight="1" x14ac:dyDescent="0.25">
      <c r="A14" s="9">
        <v>23</v>
      </c>
      <c r="B14" s="10">
        <v>6</v>
      </c>
      <c r="C14" s="138" t="s">
        <v>325</v>
      </c>
      <c r="D14" s="19">
        <v>23</v>
      </c>
      <c r="E14" s="10">
        <v>6</v>
      </c>
      <c r="F14" s="138" t="s">
        <v>286</v>
      </c>
      <c r="G14" s="12">
        <v>0.5</v>
      </c>
      <c r="H14" s="272">
        <v>84366</v>
      </c>
      <c r="I14" s="14">
        <v>42183</v>
      </c>
      <c r="J14" s="424"/>
      <c r="K14" s="425"/>
    </row>
    <row r="15" spans="1:11" ht="18" customHeight="1" x14ac:dyDescent="0.25">
      <c r="A15" s="9">
        <v>24</v>
      </c>
      <c r="B15" s="10">
        <v>6</v>
      </c>
      <c r="C15" s="138" t="s">
        <v>325</v>
      </c>
      <c r="D15" s="24">
        <v>24</v>
      </c>
      <c r="E15" s="10">
        <v>6</v>
      </c>
      <c r="F15" s="138" t="s">
        <v>75</v>
      </c>
      <c r="G15" s="12">
        <v>0.5</v>
      </c>
      <c r="H15" s="272">
        <v>84366</v>
      </c>
      <c r="I15" s="14">
        <v>42183</v>
      </c>
      <c r="J15" s="424"/>
      <c r="K15" s="425"/>
    </row>
    <row r="16" spans="1:11" ht="18" customHeight="1" x14ac:dyDescent="0.25">
      <c r="A16" s="367">
        <v>26</v>
      </c>
      <c r="B16" s="368">
        <v>6</v>
      </c>
      <c r="C16" s="138" t="s">
        <v>384</v>
      </c>
      <c r="D16" s="367">
        <v>26</v>
      </c>
      <c r="E16" s="368">
        <v>6</v>
      </c>
      <c r="F16" s="138" t="s">
        <v>385</v>
      </c>
      <c r="G16" s="12">
        <v>0.5</v>
      </c>
      <c r="H16" s="272">
        <v>84366</v>
      </c>
      <c r="I16" s="14">
        <v>42183</v>
      </c>
      <c r="J16" s="411"/>
      <c r="K16" s="412"/>
    </row>
    <row r="17" spans="1:11" ht="18" customHeight="1" x14ac:dyDescent="0.25">
      <c r="A17" s="9">
        <v>30</v>
      </c>
      <c r="B17" s="10">
        <v>6</v>
      </c>
      <c r="C17" s="138" t="s">
        <v>315</v>
      </c>
      <c r="D17" s="19">
        <v>30</v>
      </c>
      <c r="E17" s="10">
        <v>6</v>
      </c>
      <c r="F17" s="138" t="s">
        <v>212</v>
      </c>
      <c r="G17" s="12">
        <v>1</v>
      </c>
      <c r="H17" s="272">
        <v>84366</v>
      </c>
      <c r="I17" s="14">
        <v>84366</v>
      </c>
      <c r="J17" s="411"/>
      <c r="K17" s="412"/>
    </row>
    <row r="18" spans="1:11" ht="18" customHeight="1" x14ac:dyDescent="0.25">
      <c r="A18" s="9"/>
      <c r="B18" s="10"/>
      <c r="C18" s="138"/>
      <c r="D18" s="19"/>
      <c r="E18" s="10"/>
      <c r="F18" s="138"/>
      <c r="G18" s="12"/>
      <c r="H18" s="272"/>
      <c r="I18" s="14"/>
      <c r="J18" s="411"/>
      <c r="K18" s="412"/>
    </row>
    <row r="19" spans="1:11" ht="18" customHeight="1" x14ac:dyDescent="0.25">
      <c r="A19" s="9"/>
      <c r="B19" s="10"/>
      <c r="C19" s="138"/>
      <c r="D19" s="19"/>
      <c r="E19" s="10"/>
      <c r="F19" s="138"/>
      <c r="G19" s="12"/>
      <c r="H19" s="272"/>
      <c r="I19" s="14"/>
      <c r="J19" s="411"/>
      <c r="K19" s="412"/>
    </row>
    <row r="20" spans="1:11" ht="18" customHeight="1" x14ac:dyDescent="0.25">
      <c r="A20" s="9"/>
      <c r="B20" s="10"/>
      <c r="C20" s="138"/>
      <c r="D20" s="19"/>
      <c r="E20" s="10"/>
      <c r="F20" s="138"/>
      <c r="G20" s="12"/>
      <c r="H20" s="272"/>
      <c r="I20" s="14"/>
      <c r="J20" s="413"/>
      <c r="K20" s="414"/>
    </row>
    <row r="21" spans="1:11" ht="18" customHeight="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11"/>
      <c r="K21" s="412"/>
    </row>
    <row r="22" spans="1:11" ht="18" customHeight="1" x14ac:dyDescent="0.25">
      <c r="A22" s="9"/>
      <c r="B22" s="10"/>
      <c r="C22" s="138"/>
      <c r="D22" s="19"/>
      <c r="E22" s="10"/>
      <c r="F22" s="138"/>
      <c r="G22" s="12"/>
      <c r="H22" s="13"/>
      <c r="I22" s="14"/>
      <c r="J22" s="413"/>
      <c r="K22" s="414"/>
    </row>
    <row r="23" spans="1:11" ht="18" customHeight="1" x14ac:dyDescent="0.25">
      <c r="A23" s="9"/>
      <c r="B23" s="10"/>
      <c r="C23" s="11"/>
      <c r="D23" s="19"/>
      <c r="E23" s="10"/>
      <c r="F23" s="11"/>
      <c r="G23" s="12"/>
      <c r="H23" s="13"/>
      <c r="I23" s="71"/>
      <c r="J23" s="413"/>
      <c r="K23" s="414"/>
    </row>
    <row r="24" spans="1:11" ht="18" customHeight="1" x14ac:dyDescent="0.25">
      <c r="A24" s="29"/>
      <c r="B24" s="29"/>
      <c r="C24" s="30"/>
      <c r="D24" s="29"/>
      <c r="E24" s="29"/>
      <c r="F24" s="30"/>
      <c r="G24" s="12"/>
      <c r="H24" s="13"/>
      <c r="I24" s="14"/>
      <c r="J24" s="400"/>
      <c r="K24" s="401"/>
    </row>
    <row r="25" spans="1:11" ht="18" customHeight="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ht="18" customHeight="1" x14ac:dyDescent="0.25">
      <c r="A26" s="73" t="s">
        <v>21</v>
      </c>
      <c r="B26" s="74"/>
      <c r="C26" s="94" t="s">
        <v>35</v>
      </c>
      <c r="D26" s="75"/>
      <c r="E26" s="406" t="s">
        <v>36</v>
      </c>
      <c r="F26" s="410"/>
      <c r="G26" s="410"/>
      <c r="H26" s="407"/>
      <c r="I26" s="76"/>
      <c r="J26" s="400"/>
      <c r="K26" s="401"/>
    </row>
    <row r="27" spans="1:11" ht="18" customHeight="1" x14ac:dyDescent="0.25">
      <c r="A27" s="406"/>
      <c r="B27" s="407"/>
      <c r="C27" s="408"/>
      <c r="D27" s="409"/>
      <c r="E27" s="406"/>
      <c r="F27" s="410"/>
      <c r="G27" s="410"/>
      <c r="H27" s="407"/>
      <c r="I27" s="77"/>
      <c r="J27" s="400"/>
      <c r="K27" s="401"/>
    </row>
    <row r="28" spans="1:11" ht="18" customHeight="1" x14ac:dyDescent="0.25">
      <c r="A28" s="403"/>
      <c r="B28" s="404"/>
      <c r="C28" s="403"/>
      <c r="D28" s="404"/>
      <c r="E28" s="403"/>
      <c r="F28" s="405"/>
      <c r="G28" s="405"/>
      <c r="H28" s="404"/>
      <c r="I28" s="78"/>
      <c r="J28" s="400"/>
      <c r="K28" s="401"/>
    </row>
    <row r="29" spans="1:11" ht="18" customHeight="1" x14ac:dyDescent="0.25">
      <c r="A29" s="403"/>
      <c r="B29" s="404"/>
      <c r="C29" s="79"/>
      <c r="D29" s="80"/>
      <c r="E29" s="403"/>
      <c r="F29" s="405"/>
      <c r="G29" s="405"/>
      <c r="H29" s="404"/>
      <c r="I29" s="78"/>
      <c r="J29" s="400"/>
      <c r="K29" s="401"/>
    </row>
    <row r="30" spans="1:11" ht="18" customHeight="1" x14ac:dyDescent="0.25">
      <c r="A30" s="397" t="s">
        <v>37</v>
      </c>
      <c r="B30" s="398"/>
      <c r="C30" s="398"/>
      <c r="D30" s="398"/>
      <c r="E30" s="398"/>
      <c r="F30" s="398"/>
      <c r="G30" s="398"/>
      <c r="H30" s="399"/>
      <c r="I30" s="81">
        <f>SUM(I9:I23)</f>
        <v>506196</v>
      </c>
      <c r="J30" s="400"/>
      <c r="K30" s="401"/>
    </row>
    <row r="31" spans="1:11" ht="18" customHeight="1" x14ac:dyDescent="0.25">
      <c r="A31" s="82"/>
      <c r="B31" s="83"/>
      <c r="C31" s="83"/>
      <c r="D31" s="83"/>
      <c r="E31" s="83"/>
      <c r="F31" s="83"/>
      <c r="G31" s="83"/>
      <c r="H31" s="84"/>
      <c r="I31" s="85"/>
      <c r="J31" s="400"/>
      <c r="K31" s="401"/>
    </row>
    <row r="32" spans="1:11" ht="18" customHeight="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  <row r="33" spans="1:11" ht="18" customHeight="1" x14ac:dyDescent="0.25">
      <c r="A33" t="s">
        <v>437</v>
      </c>
      <c r="F33" s="320"/>
      <c r="G33" s="320"/>
      <c r="H33" s="320"/>
      <c r="I33" s="320"/>
      <c r="J33" s="320"/>
      <c r="K33" s="320"/>
    </row>
    <row r="34" spans="1:11" ht="18" customHeight="1" x14ac:dyDescent="0.25">
      <c r="A34" s="320"/>
      <c r="B34" s="320"/>
      <c r="C34" s="320"/>
      <c r="D34" s="320"/>
      <c r="E34" s="320"/>
      <c r="F34" s="320"/>
      <c r="G34" s="320"/>
      <c r="H34" s="320"/>
      <c r="I34" s="320"/>
      <c r="J34" s="320"/>
      <c r="K34" s="320"/>
    </row>
    <row r="35" spans="1:11" ht="18" customHeight="1" x14ac:dyDescent="0.25">
      <c r="A35" s="87"/>
      <c r="B35" s="86"/>
      <c r="C35" s="86"/>
      <c r="D35" s="86"/>
      <c r="E35" s="86"/>
      <c r="F35" s="86"/>
      <c r="G35" s="86"/>
      <c r="H35" s="86"/>
      <c r="I35" s="86"/>
      <c r="J35" s="88"/>
      <c r="K35" s="88"/>
    </row>
    <row r="36" spans="1:11" ht="18" customHeight="1" x14ac:dyDescent="0.25">
      <c r="A36" s="89"/>
      <c r="B36" s="89"/>
      <c r="C36" s="89"/>
      <c r="D36" s="89"/>
      <c r="E36" s="89"/>
      <c r="F36" s="90"/>
      <c r="G36" s="90"/>
      <c r="H36" s="90"/>
      <c r="I36" s="389" t="s">
        <v>61</v>
      </c>
      <c r="J36" s="389"/>
      <c r="K36" s="389"/>
    </row>
    <row r="37" spans="1:11" ht="18" customHeight="1" x14ac:dyDescent="0.25">
      <c r="A37" s="89"/>
      <c r="B37" s="89"/>
      <c r="C37" s="89"/>
      <c r="D37" s="89"/>
      <c r="E37" s="89"/>
      <c r="F37" s="90"/>
      <c r="G37" s="90"/>
      <c r="H37" s="90"/>
      <c r="I37" s="390" t="s">
        <v>38</v>
      </c>
      <c r="J37" s="390"/>
      <c r="K37" s="390"/>
    </row>
    <row r="38" spans="1:11" ht="18" customHeight="1" x14ac:dyDescent="0.25">
      <c r="A38" s="89"/>
      <c r="B38" s="89"/>
      <c r="C38" s="90"/>
      <c r="D38" s="90"/>
      <c r="E38" s="90"/>
      <c r="F38" s="90"/>
      <c r="G38" s="90"/>
      <c r="H38" s="90"/>
      <c r="I38" s="88"/>
    </row>
    <row r="39" spans="1:11" ht="18" customHeight="1" x14ac:dyDescent="0.25">
      <c r="A39" s="89"/>
      <c r="B39" s="89"/>
      <c r="C39" s="90"/>
      <c r="D39" s="90"/>
      <c r="E39" s="90"/>
      <c r="F39" s="90"/>
      <c r="G39" s="90"/>
      <c r="H39" s="90"/>
      <c r="I39" s="86"/>
    </row>
    <row r="40" spans="1:11" ht="18" customHeight="1" x14ac:dyDescent="0.25">
      <c r="A40" s="91" t="s">
        <v>39</v>
      </c>
      <c r="B40" s="89"/>
      <c r="C40" s="89"/>
      <c r="D40" s="89"/>
      <c r="E40" s="89"/>
      <c r="F40" s="89"/>
      <c r="G40" s="89"/>
      <c r="H40" s="89"/>
      <c r="I40" s="389" t="s">
        <v>62</v>
      </c>
      <c r="J40" s="389"/>
      <c r="K40" s="389"/>
    </row>
    <row r="41" spans="1:11" ht="18" customHeight="1" x14ac:dyDescent="0.25">
      <c r="A41" s="91" t="s">
        <v>404</v>
      </c>
      <c r="B41" s="89"/>
      <c r="C41" s="90"/>
      <c r="D41" s="90"/>
      <c r="E41" s="90"/>
      <c r="F41" s="89"/>
      <c r="G41" s="89"/>
      <c r="H41" s="89"/>
      <c r="I41" s="389" t="s">
        <v>40</v>
      </c>
      <c r="J41" s="389"/>
      <c r="K41" s="389"/>
    </row>
    <row r="42" spans="1:11" ht="18" customHeight="1" x14ac:dyDescent="0.25">
      <c r="A42" s="89"/>
      <c r="B42" s="89"/>
      <c r="C42" s="90"/>
      <c r="D42" s="90"/>
      <c r="E42" s="90"/>
      <c r="F42" s="90"/>
      <c r="G42" s="90"/>
      <c r="H42" s="90"/>
      <c r="I42" s="86"/>
    </row>
    <row r="43" spans="1:11" ht="18" customHeight="1" x14ac:dyDescent="0.25">
      <c r="A43" s="89"/>
      <c r="B43" s="89"/>
      <c r="C43" s="90"/>
      <c r="D43" s="90"/>
      <c r="E43" s="90"/>
      <c r="F43" s="90"/>
      <c r="G43" s="90"/>
      <c r="H43" s="90"/>
    </row>
    <row r="44" spans="1:11" ht="18" customHeight="1" x14ac:dyDescent="0.25">
      <c r="A44" s="86"/>
      <c r="B44" s="86"/>
      <c r="C44" s="86"/>
      <c r="D44" s="86"/>
      <c r="E44" s="86"/>
      <c r="F44" s="86"/>
      <c r="G44" s="86"/>
      <c r="H44" s="86"/>
      <c r="I44" s="88"/>
    </row>
    <row r="45" spans="1:11" ht="18" customHeight="1" x14ac:dyDescent="0.25">
      <c r="A45" s="92"/>
      <c r="B45" s="86"/>
      <c r="C45" s="86"/>
      <c r="D45" s="86"/>
      <c r="E45" s="86"/>
      <c r="F45" s="86"/>
      <c r="G45" s="86"/>
      <c r="H45" s="86"/>
      <c r="I45" s="86"/>
    </row>
  </sheetData>
  <mergeCells count="47">
    <mergeCell ref="I41:K41"/>
    <mergeCell ref="A4:I4"/>
    <mergeCell ref="I36:K36"/>
    <mergeCell ref="I37:K37"/>
    <mergeCell ref="I40:K40"/>
    <mergeCell ref="J16:K16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J14:K14"/>
    <mergeCell ref="A1:K1"/>
    <mergeCell ref="A2:I2"/>
    <mergeCell ref="J2:K2"/>
    <mergeCell ref="A3:I3"/>
    <mergeCell ref="J3:K3"/>
    <mergeCell ref="J15:K15"/>
    <mergeCell ref="A27:B27"/>
    <mergeCell ref="C27:D27"/>
    <mergeCell ref="E27:H27"/>
    <mergeCell ref="J27:K27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E26:H26"/>
    <mergeCell ref="J26:K26"/>
    <mergeCell ref="A30:H30"/>
    <mergeCell ref="J30:K30"/>
    <mergeCell ref="J31:K31"/>
    <mergeCell ref="A28:B28"/>
    <mergeCell ref="C28:D28"/>
    <mergeCell ref="E28:H28"/>
    <mergeCell ref="J28:K28"/>
    <mergeCell ref="A29:B29"/>
    <mergeCell ref="E29:H29"/>
    <mergeCell ref="J29:K2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45"/>
  <sheetViews>
    <sheetView workbookViewId="0">
      <selection activeCell="Q45" sqref="Q45"/>
    </sheetView>
  </sheetViews>
  <sheetFormatPr baseColWidth="10" defaultRowHeight="15" x14ac:dyDescent="0.25"/>
  <cols>
    <col min="1" max="1" width="7.85546875" customWidth="1"/>
    <col min="2" max="2" width="5.28515625" customWidth="1"/>
    <col min="3" max="3" width="8.140625" customWidth="1"/>
    <col min="4" max="4" width="7.5703125" customWidth="1"/>
    <col min="5" max="5" width="5.5703125" customWidth="1"/>
    <col min="6" max="6" width="6.7109375" customWidth="1"/>
    <col min="7" max="7" width="5.7109375" customWidth="1"/>
    <col min="8" max="8" width="11.5703125" customWidth="1"/>
    <col min="9" max="9" width="12.7109375" customWidth="1"/>
    <col min="10" max="10" width="6" customWidth="1"/>
    <col min="11" max="11" width="9.42578125" customWidth="1"/>
  </cols>
  <sheetData>
    <row r="1" spans="1:11" ht="19.5" customHeight="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ht="19.5" customHeight="1" x14ac:dyDescent="0.25">
      <c r="A2" s="429" t="s">
        <v>41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ht="19.5" customHeight="1" x14ac:dyDescent="0.25">
      <c r="A3" s="429" t="s">
        <v>99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ht="19.5" customHeight="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ht="19.5" customHeight="1" x14ac:dyDescent="0.25">
      <c r="A5" s="406"/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ht="19.5" customHeight="1" x14ac:dyDescent="0.25">
      <c r="A6" s="415">
        <f>'ALEJANDRO J'!A6:J6</f>
        <v>0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ht="18" customHeight="1" x14ac:dyDescent="0.25">
      <c r="A7" s="66" t="s">
        <v>2</v>
      </c>
      <c r="B7" s="67"/>
      <c r="C7" s="68"/>
      <c r="D7" s="69" t="s">
        <v>6</v>
      </c>
      <c r="E7" s="67"/>
      <c r="F7" s="68"/>
      <c r="G7" s="69" t="s">
        <v>7</v>
      </c>
      <c r="H7" s="68"/>
      <c r="I7" s="418" t="s">
        <v>10</v>
      </c>
      <c r="J7" s="420" t="s">
        <v>33</v>
      </c>
      <c r="K7" s="421"/>
    </row>
    <row r="8" spans="1:11" ht="18" customHeight="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ht="18" customHeight="1" x14ac:dyDescent="0.25">
      <c r="A9" s="9">
        <v>2</v>
      </c>
      <c r="B9" s="10">
        <v>2</v>
      </c>
      <c r="C9" s="138" t="s">
        <v>73</v>
      </c>
      <c r="D9" s="9">
        <v>2</v>
      </c>
      <c r="E9" s="10">
        <v>2</v>
      </c>
      <c r="F9" s="138" t="s">
        <v>74</v>
      </c>
      <c r="G9" s="12">
        <v>0.25</v>
      </c>
      <c r="H9" s="13">
        <v>60845</v>
      </c>
      <c r="I9" s="14">
        <v>15211.25</v>
      </c>
      <c r="J9" s="424"/>
      <c r="K9" s="425"/>
    </row>
    <row r="10" spans="1:11" ht="18" customHeight="1" x14ac:dyDescent="0.25">
      <c r="A10" s="9">
        <v>18</v>
      </c>
      <c r="B10" s="10">
        <v>2</v>
      </c>
      <c r="C10" s="138" t="s">
        <v>85</v>
      </c>
      <c r="D10" s="19">
        <v>18</v>
      </c>
      <c r="E10" s="10">
        <v>2</v>
      </c>
      <c r="F10" s="138" t="s">
        <v>86</v>
      </c>
      <c r="G10" s="12">
        <v>0.25</v>
      </c>
      <c r="H10" s="13">
        <v>60845</v>
      </c>
      <c r="I10" s="14">
        <v>15211.25</v>
      </c>
      <c r="J10" s="424"/>
      <c r="K10" s="425"/>
    </row>
    <row r="11" spans="1:11" ht="18" customHeight="1" x14ac:dyDescent="0.25">
      <c r="A11" s="23">
        <v>18</v>
      </c>
      <c r="B11" s="10">
        <v>2</v>
      </c>
      <c r="C11" s="138" t="s">
        <v>87</v>
      </c>
      <c r="D11" s="9">
        <v>18</v>
      </c>
      <c r="E11" s="10">
        <v>2</v>
      </c>
      <c r="F11" s="138" t="s">
        <v>88</v>
      </c>
      <c r="G11" s="12">
        <v>0.25</v>
      </c>
      <c r="H11" s="13">
        <v>60845</v>
      </c>
      <c r="I11" s="14">
        <v>15211.25</v>
      </c>
      <c r="J11" s="424"/>
      <c r="K11" s="425"/>
    </row>
    <row r="12" spans="1:11" ht="18" customHeight="1" x14ac:dyDescent="0.25">
      <c r="A12" s="9">
        <v>19</v>
      </c>
      <c r="B12" s="10">
        <v>2</v>
      </c>
      <c r="C12" s="138" t="s">
        <v>76</v>
      </c>
      <c r="D12" s="19">
        <v>19</v>
      </c>
      <c r="E12" s="10">
        <v>2</v>
      </c>
      <c r="F12" s="138" t="s">
        <v>71</v>
      </c>
      <c r="G12" s="12">
        <v>1</v>
      </c>
      <c r="H12" s="13">
        <v>60845</v>
      </c>
      <c r="I12" s="14">
        <v>60845</v>
      </c>
      <c r="J12" s="424"/>
      <c r="K12" s="425"/>
    </row>
    <row r="13" spans="1:11" ht="18" customHeight="1" x14ac:dyDescent="0.25">
      <c r="A13" s="9">
        <v>20</v>
      </c>
      <c r="B13" s="10">
        <v>2</v>
      </c>
      <c r="C13" s="138" t="s">
        <v>91</v>
      </c>
      <c r="D13" s="24">
        <v>20</v>
      </c>
      <c r="E13" s="10">
        <v>2</v>
      </c>
      <c r="F13" s="138" t="s">
        <v>68</v>
      </c>
      <c r="G13" s="12">
        <v>0.25</v>
      </c>
      <c r="H13" s="13">
        <v>60845</v>
      </c>
      <c r="I13" s="14">
        <v>15211.25</v>
      </c>
      <c r="J13" s="424"/>
      <c r="K13" s="425"/>
    </row>
    <row r="14" spans="1:11" ht="18" customHeight="1" x14ac:dyDescent="0.25">
      <c r="A14" s="9">
        <v>20</v>
      </c>
      <c r="B14" s="10">
        <v>2</v>
      </c>
      <c r="C14" s="138" t="s">
        <v>92</v>
      </c>
      <c r="D14" s="9">
        <v>20</v>
      </c>
      <c r="E14" s="10">
        <v>2</v>
      </c>
      <c r="F14" s="138" t="s">
        <v>93</v>
      </c>
      <c r="G14" s="12">
        <v>0.25</v>
      </c>
      <c r="H14" s="13">
        <v>60845</v>
      </c>
      <c r="I14" s="14">
        <v>15211.25</v>
      </c>
      <c r="J14" s="424"/>
      <c r="K14" s="425"/>
    </row>
    <row r="15" spans="1:11" ht="18" customHeight="1" x14ac:dyDescent="0.25">
      <c r="A15" s="9">
        <v>21</v>
      </c>
      <c r="B15" s="10">
        <v>2</v>
      </c>
      <c r="C15" s="138" t="s">
        <v>94</v>
      </c>
      <c r="D15" s="19">
        <v>22</v>
      </c>
      <c r="E15" s="10">
        <v>2</v>
      </c>
      <c r="F15" s="138" t="s">
        <v>95</v>
      </c>
      <c r="G15" s="12">
        <v>0.5</v>
      </c>
      <c r="H15" s="13">
        <v>60845</v>
      </c>
      <c r="I15" s="14">
        <v>30422.5</v>
      </c>
      <c r="J15" s="424"/>
      <c r="K15" s="425"/>
    </row>
    <row r="16" spans="1:11" ht="18" customHeight="1" x14ac:dyDescent="0.25">
      <c r="A16" s="9">
        <v>22</v>
      </c>
      <c r="B16" s="10">
        <v>2</v>
      </c>
      <c r="C16" s="138" t="s">
        <v>69</v>
      </c>
      <c r="D16" s="19">
        <v>22</v>
      </c>
      <c r="E16" s="10">
        <v>2</v>
      </c>
      <c r="F16" s="138" t="s">
        <v>83</v>
      </c>
      <c r="G16" s="12">
        <v>0.25</v>
      </c>
      <c r="H16" s="13">
        <v>60845</v>
      </c>
      <c r="I16" s="14">
        <v>15211.25</v>
      </c>
      <c r="J16" s="411"/>
      <c r="K16" s="412"/>
    </row>
    <row r="17" spans="1:11" ht="18" customHeight="1" x14ac:dyDescent="0.25">
      <c r="A17" s="9">
        <v>24</v>
      </c>
      <c r="B17" s="10">
        <v>2</v>
      </c>
      <c r="C17" s="138" t="s">
        <v>77</v>
      </c>
      <c r="D17" s="19">
        <v>24</v>
      </c>
      <c r="E17" s="10">
        <v>2</v>
      </c>
      <c r="F17" s="138" t="s">
        <v>97</v>
      </c>
      <c r="G17" s="12">
        <v>0.25</v>
      </c>
      <c r="H17" s="13">
        <v>60845</v>
      </c>
      <c r="I17" s="14">
        <v>15211.25</v>
      </c>
      <c r="J17" s="411"/>
      <c r="K17" s="412"/>
    </row>
    <row r="18" spans="1:11" ht="18" customHeight="1" x14ac:dyDescent="0.25">
      <c r="A18" s="9">
        <v>25</v>
      </c>
      <c r="B18" s="10">
        <v>2</v>
      </c>
      <c r="C18" s="138" t="s">
        <v>76</v>
      </c>
      <c r="D18" s="19">
        <v>25</v>
      </c>
      <c r="E18" s="10">
        <v>2</v>
      </c>
      <c r="F18" s="138" t="s">
        <v>98</v>
      </c>
      <c r="G18" s="12">
        <v>1</v>
      </c>
      <c r="H18" s="13">
        <v>60845</v>
      </c>
      <c r="I18" s="14">
        <v>60845</v>
      </c>
      <c r="J18" s="411"/>
      <c r="K18" s="412"/>
    </row>
    <row r="19" spans="1:11" ht="18" customHeight="1" x14ac:dyDescent="0.25">
      <c r="A19" s="9"/>
      <c r="B19" s="10"/>
      <c r="C19" s="11"/>
      <c r="D19" s="19"/>
      <c r="E19" s="10"/>
      <c r="F19" s="11"/>
      <c r="G19" s="12"/>
      <c r="H19" s="13"/>
      <c r="I19" s="71"/>
      <c r="J19" s="411"/>
      <c r="K19" s="412"/>
    </row>
    <row r="20" spans="1:11" ht="18" customHeight="1" x14ac:dyDescent="0.25">
      <c r="A20" s="9"/>
      <c r="B20" s="10"/>
      <c r="C20" s="11"/>
      <c r="D20" s="19"/>
      <c r="E20" s="10"/>
      <c r="F20" s="11"/>
      <c r="G20" s="12"/>
      <c r="H20" s="13"/>
      <c r="I20" s="71"/>
      <c r="J20" s="413"/>
      <c r="K20" s="414"/>
    </row>
    <row r="21" spans="1:11" ht="18" customHeight="1" x14ac:dyDescent="0.25">
      <c r="A21" s="9"/>
      <c r="B21" s="10"/>
      <c r="C21" s="11"/>
      <c r="D21" s="9"/>
      <c r="E21" s="10"/>
      <c r="F21" s="11"/>
      <c r="G21" s="12"/>
      <c r="H21" s="13"/>
      <c r="I21" s="71"/>
      <c r="J21" s="411"/>
      <c r="K21" s="412"/>
    </row>
    <row r="22" spans="1:11" ht="18" customHeight="1" x14ac:dyDescent="0.25">
      <c r="A22" s="9"/>
      <c r="B22" s="10"/>
      <c r="C22" s="11"/>
      <c r="D22" s="9"/>
      <c r="E22" s="10"/>
      <c r="F22" s="11"/>
      <c r="G22" s="72"/>
      <c r="H22" s="13"/>
      <c r="I22" s="71"/>
      <c r="J22" s="413"/>
      <c r="K22" s="414"/>
    </row>
    <row r="23" spans="1:11" ht="18" customHeight="1" x14ac:dyDescent="0.25">
      <c r="A23" s="9"/>
      <c r="B23" s="10"/>
      <c r="C23" s="11"/>
      <c r="D23" s="19"/>
      <c r="E23" s="10"/>
      <c r="F23" s="11"/>
      <c r="G23" s="12"/>
      <c r="H23" s="13"/>
      <c r="I23" s="71"/>
      <c r="J23" s="413"/>
      <c r="K23" s="414"/>
    </row>
    <row r="24" spans="1:11" ht="18" customHeight="1" x14ac:dyDescent="0.25">
      <c r="A24" s="29"/>
      <c r="B24" s="29"/>
      <c r="C24" s="30"/>
      <c r="D24" s="29"/>
      <c r="E24" s="29"/>
      <c r="F24" s="30"/>
      <c r="G24" s="12"/>
      <c r="H24" s="13"/>
      <c r="I24" s="14"/>
      <c r="J24" s="400"/>
      <c r="K24" s="401"/>
    </row>
    <row r="25" spans="1:11" ht="18" customHeight="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ht="18" customHeight="1" x14ac:dyDescent="0.25">
      <c r="A26" s="73" t="s">
        <v>21</v>
      </c>
      <c r="B26" s="74"/>
      <c r="C26" s="94" t="s">
        <v>35</v>
      </c>
      <c r="D26" s="95"/>
      <c r="E26" s="406" t="s">
        <v>36</v>
      </c>
      <c r="F26" s="410"/>
      <c r="G26" s="410"/>
      <c r="H26" s="407"/>
      <c r="I26" s="76"/>
      <c r="J26" s="400"/>
      <c r="K26" s="401"/>
    </row>
    <row r="27" spans="1:11" ht="18" customHeight="1" x14ac:dyDescent="0.25">
      <c r="A27" s="406"/>
      <c r="B27" s="407"/>
      <c r="C27" s="408"/>
      <c r="D27" s="409"/>
      <c r="E27" s="406"/>
      <c r="F27" s="410"/>
      <c r="G27" s="410"/>
      <c r="H27" s="407"/>
      <c r="I27" s="77"/>
      <c r="J27" s="400"/>
      <c r="K27" s="401"/>
    </row>
    <row r="28" spans="1:11" ht="18" customHeight="1" x14ac:dyDescent="0.25">
      <c r="A28" s="403"/>
      <c r="B28" s="404"/>
      <c r="C28" s="403"/>
      <c r="D28" s="404"/>
      <c r="E28" s="403"/>
      <c r="F28" s="405"/>
      <c r="G28" s="405"/>
      <c r="H28" s="404"/>
      <c r="I28" s="78"/>
      <c r="J28" s="400"/>
      <c r="K28" s="401"/>
    </row>
    <row r="29" spans="1:11" ht="18" customHeight="1" x14ac:dyDescent="0.25">
      <c r="A29" s="403"/>
      <c r="B29" s="404"/>
      <c r="C29" s="79"/>
      <c r="D29" s="80"/>
      <c r="E29" s="403"/>
      <c r="F29" s="405"/>
      <c r="G29" s="405"/>
      <c r="H29" s="404"/>
      <c r="I29" s="78"/>
      <c r="J29" s="400"/>
      <c r="K29" s="401"/>
    </row>
    <row r="30" spans="1:11" ht="18" customHeight="1" x14ac:dyDescent="0.25">
      <c r="A30" s="397" t="s">
        <v>37</v>
      </c>
      <c r="B30" s="398"/>
      <c r="C30" s="398"/>
      <c r="D30" s="398"/>
      <c r="E30" s="398"/>
      <c r="F30" s="398"/>
      <c r="G30" s="398"/>
      <c r="H30" s="399"/>
      <c r="I30" s="81">
        <f>SUM(I9:I23)</f>
        <v>258591.25</v>
      </c>
      <c r="J30" s="400"/>
      <c r="K30" s="401"/>
    </row>
    <row r="31" spans="1:11" ht="18" customHeight="1" x14ac:dyDescent="0.25">
      <c r="A31" s="82"/>
      <c r="B31" s="83"/>
      <c r="C31" s="83"/>
      <c r="D31" s="83"/>
      <c r="E31" s="83"/>
      <c r="F31" s="83"/>
      <c r="G31" s="83"/>
      <c r="H31" s="84"/>
      <c r="I31" s="85"/>
      <c r="J31" s="400"/>
      <c r="K31" s="401"/>
    </row>
    <row r="32" spans="1:11" ht="18" customHeight="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  <row r="33" spans="1:11" ht="18" customHeight="1" x14ac:dyDescent="0.25">
      <c r="A33" s="438" t="s">
        <v>112</v>
      </c>
      <c r="B33" s="438"/>
      <c r="C33" s="438"/>
      <c r="D33" s="438"/>
      <c r="E33" s="438"/>
      <c r="F33" s="438"/>
      <c r="G33" s="438"/>
      <c r="H33" s="438"/>
      <c r="I33" s="438"/>
      <c r="J33" s="438"/>
      <c r="K33" s="438"/>
    </row>
    <row r="34" spans="1:11" ht="18" customHeight="1" x14ac:dyDescent="0.25">
      <c r="A34" s="438"/>
      <c r="B34" s="438"/>
      <c r="C34" s="438"/>
      <c r="D34" s="438"/>
      <c r="E34" s="438"/>
      <c r="F34" s="438"/>
      <c r="G34" s="438"/>
      <c r="H34" s="438"/>
      <c r="I34" s="438"/>
      <c r="J34" s="438"/>
      <c r="K34" s="438"/>
    </row>
    <row r="35" spans="1:11" ht="18" customHeight="1" x14ac:dyDescent="0.25">
      <c r="A35" s="87"/>
      <c r="B35" s="86"/>
      <c r="C35" s="86"/>
      <c r="D35" s="86"/>
      <c r="E35" s="86"/>
      <c r="F35" s="86"/>
      <c r="G35" s="86"/>
      <c r="H35" s="86"/>
      <c r="I35" s="86"/>
      <c r="J35" s="88"/>
      <c r="K35" s="88"/>
    </row>
    <row r="36" spans="1:11" ht="18" customHeight="1" x14ac:dyDescent="0.25">
      <c r="A36" s="89"/>
      <c r="B36" s="89"/>
      <c r="C36" s="89"/>
      <c r="D36" s="89"/>
      <c r="E36" s="89"/>
      <c r="F36" s="90"/>
      <c r="G36" s="90"/>
      <c r="H36" s="90"/>
      <c r="I36" s="389" t="s">
        <v>58</v>
      </c>
      <c r="J36" s="389"/>
      <c r="K36" s="389"/>
    </row>
    <row r="37" spans="1:11" ht="18" customHeight="1" x14ac:dyDescent="0.25">
      <c r="A37" s="89"/>
      <c r="B37" s="89"/>
      <c r="C37" s="89"/>
      <c r="D37" s="89"/>
      <c r="E37" s="89"/>
      <c r="F37" s="90"/>
      <c r="G37" s="90"/>
      <c r="H37" s="90"/>
      <c r="I37" s="390" t="s">
        <v>38</v>
      </c>
      <c r="J37" s="390"/>
      <c r="K37" s="390"/>
    </row>
    <row r="38" spans="1:11" ht="18" customHeight="1" x14ac:dyDescent="0.25">
      <c r="A38" s="89"/>
      <c r="B38" s="89"/>
      <c r="C38" s="90"/>
      <c r="D38" s="90"/>
      <c r="E38" s="90"/>
      <c r="F38" s="90"/>
      <c r="G38" s="90"/>
      <c r="H38" s="90"/>
      <c r="I38" s="88"/>
    </row>
    <row r="39" spans="1:11" ht="18" customHeight="1" x14ac:dyDescent="0.25">
      <c r="A39" s="89"/>
      <c r="B39" s="89"/>
      <c r="C39" s="90"/>
      <c r="D39" s="90"/>
      <c r="E39" s="90"/>
      <c r="F39" s="90"/>
      <c r="G39" s="90"/>
      <c r="H39" s="90"/>
      <c r="I39" s="86"/>
    </row>
    <row r="40" spans="1:11" ht="18" customHeight="1" x14ac:dyDescent="0.25">
      <c r="A40" s="91" t="s">
        <v>39</v>
      </c>
      <c r="B40" s="89"/>
      <c r="C40" s="89"/>
      <c r="D40" s="89"/>
      <c r="E40" s="89"/>
      <c r="F40" s="89"/>
      <c r="G40" s="89"/>
      <c r="H40" s="89"/>
      <c r="I40" s="389" t="s">
        <v>59</v>
      </c>
      <c r="J40" s="389"/>
      <c r="K40" s="389"/>
    </row>
    <row r="41" spans="1:11" ht="18" customHeight="1" x14ac:dyDescent="0.25">
      <c r="A41" s="183" t="s">
        <v>113</v>
      </c>
      <c r="B41" s="89"/>
      <c r="C41" s="90"/>
      <c r="D41" s="90"/>
      <c r="E41" s="90"/>
      <c r="F41" s="89"/>
      <c r="G41" s="89"/>
      <c r="H41" s="89"/>
      <c r="I41" s="389" t="s">
        <v>40</v>
      </c>
      <c r="J41" s="389"/>
      <c r="K41" s="389"/>
    </row>
    <row r="42" spans="1:11" ht="18" customHeight="1" x14ac:dyDescent="0.25">
      <c r="A42" s="89"/>
      <c r="B42" s="89"/>
      <c r="C42" s="90"/>
      <c r="D42" s="90"/>
      <c r="E42" s="90"/>
      <c r="F42" s="90"/>
      <c r="G42" s="90"/>
      <c r="H42" s="90"/>
      <c r="I42" s="86"/>
    </row>
    <row r="43" spans="1:11" ht="18" customHeight="1" x14ac:dyDescent="0.25">
      <c r="A43" s="89"/>
      <c r="B43" s="89"/>
      <c r="C43" s="90"/>
      <c r="D43" s="90"/>
      <c r="E43" s="90"/>
      <c r="F43" s="90"/>
      <c r="G43" s="90"/>
      <c r="H43" s="90"/>
    </row>
    <row r="44" spans="1:11" ht="18" customHeight="1" x14ac:dyDescent="0.25">
      <c r="A44" s="86"/>
      <c r="B44" s="86"/>
      <c r="C44" s="86"/>
      <c r="D44" s="86"/>
      <c r="E44" s="86"/>
      <c r="F44" s="86"/>
      <c r="G44" s="86"/>
      <c r="H44" s="86"/>
      <c r="I44" s="88"/>
    </row>
    <row r="45" spans="1:11" ht="18" customHeight="1" x14ac:dyDescent="0.25">
      <c r="A45" s="92"/>
      <c r="B45" s="86"/>
      <c r="C45" s="86"/>
      <c r="D45" s="86"/>
      <c r="E45" s="86"/>
      <c r="F45" s="86"/>
      <c r="G45" s="86"/>
      <c r="H45" s="86"/>
      <c r="I45" s="86"/>
    </row>
  </sheetData>
  <mergeCells count="48">
    <mergeCell ref="I41:K41"/>
    <mergeCell ref="A4:I4"/>
    <mergeCell ref="A33:K34"/>
    <mergeCell ref="I36:K36"/>
    <mergeCell ref="I37:K37"/>
    <mergeCell ref="I40:K40"/>
    <mergeCell ref="J16:K16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A1:K1"/>
    <mergeCell ref="A2:I2"/>
    <mergeCell ref="J2:K2"/>
    <mergeCell ref="A3:I3"/>
    <mergeCell ref="J3:K3"/>
    <mergeCell ref="J14:K14"/>
    <mergeCell ref="J15:K15"/>
    <mergeCell ref="A27:B27"/>
    <mergeCell ref="C27:D27"/>
    <mergeCell ref="E27:H27"/>
    <mergeCell ref="J27:K27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E26:H26"/>
    <mergeCell ref="J26:K26"/>
    <mergeCell ref="A30:H30"/>
    <mergeCell ref="J30:K30"/>
    <mergeCell ref="J31:K31"/>
    <mergeCell ref="A28:B28"/>
    <mergeCell ref="C28:D28"/>
    <mergeCell ref="E28:H28"/>
    <mergeCell ref="J28:K28"/>
    <mergeCell ref="A29:B29"/>
    <mergeCell ref="E29:H29"/>
    <mergeCell ref="J29:K29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46"/>
  <sheetViews>
    <sheetView workbookViewId="0">
      <selection activeCell="B42" sqref="A42:XFD42"/>
    </sheetView>
  </sheetViews>
  <sheetFormatPr baseColWidth="10" defaultRowHeight="15" x14ac:dyDescent="0.25"/>
  <cols>
    <col min="1" max="1" width="4.28515625" customWidth="1"/>
    <col min="2" max="2" width="5" customWidth="1"/>
    <col min="3" max="3" width="6.5703125" customWidth="1"/>
    <col min="4" max="4" width="9" customWidth="1"/>
    <col min="5" max="5" width="5.28515625" customWidth="1"/>
    <col min="6" max="6" width="7" customWidth="1"/>
    <col min="7" max="7" width="6.140625" customWidth="1"/>
    <col min="8" max="8" width="11.7109375" customWidth="1"/>
    <col min="9" max="9" width="13.42578125" customWidth="1"/>
    <col min="10" max="10" width="6" customWidth="1"/>
    <col min="11" max="11" width="9.28515625" customWidth="1"/>
  </cols>
  <sheetData>
    <row r="1" spans="1:11" ht="19.5" customHeight="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ht="19.5" customHeight="1" x14ac:dyDescent="0.25">
      <c r="A2" s="429" t="s">
        <v>172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ht="19.5" customHeight="1" x14ac:dyDescent="0.25">
      <c r="A3" s="429" t="s">
        <v>135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ht="19.5" customHeight="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ht="19.5" customHeight="1" x14ac:dyDescent="0.25">
      <c r="A5" s="406" t="s">
        <v>170</v>
      </c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ht="19.5" customHeight="1" x14ac:dyDescent="0.25">
      <c r="A6" s="415">
        <f>'ALEJANDRO J'!A6:J6</f>
        <v>0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ht="18" customHeight="1" x14ac:dyDescent="0.25">
      <c r="A7" s="66" t="s">
        <v>2</v>
      </c>
      <c r="B7" s="67"/>
      <c r="C7" s="68"/>
      <c r="D7" s="69" t="s">
        <v>6</v>
      </c>
      <c r="E7" s="67"/>
      <c r="F7" s="68"/>
      <c r="G7" s="69" t="s">
        <v>7</v>
      </c>
      <c r="H7" s="68"/>
      <c r="I7" s="418" t="s">
        <v>10</v>
      </c>
      <c r="J7" s="420" t="s">
        <v>33</v>
      </c>
      <c r="K7" s="421"/>
    </row>
    <row r="8" spans="1:11" ht="18" customHeight="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ht="18" customHeight="1" x14ac:dyDescent="0.25">
      <c r="A9" s="9">
        <v>9</v>
      </c>
      <c r="B9" s="10">
        <v>12</v>
      </c>
      <c r="C9" s="138" t="s">
        <v>144</v>
      </c>
      <c r="D9" s="19">
        <v>9</v>
      </c>
      <c r="E9" s="10">
        <v>12</v>
      </c>
      <c r="F9" s="138" t="s">
        <v>166</v>
      </c>
      <c r="G9" s="12">
        <v>0.5</v>
      </c>
      <c r="H9" s="272">
        <v>72808</v>
      </c>
      <c r="I9" s="14">
        <f t="shared" ref="I9" si="0">H9*G9</f>
        <v>36404</v>
      </c>
      <c r="J9" s="424"/>
      <c r="K9" s="425"/>
    </row>
    <row r="10" spans="1:11" ht="18" customHeight="1" x14ac:dyDescent="0.25">
      <c r="A10" s="9"/>
      <c r="B10" s="10"/>
      <c r="C10" s="138"/>
      <c r="D10" s="9"/>
      <c r="E10" s="10"/>
      <c r="F10" s="138"/>
      <c r="G10" s="12"/>
      <c r="H10" s="13"/>
      <c r="I10" s="14"/>
      <c r="J10" s="424"/>
      <c r="K10" s="425"/>
    </row>
    <row r="11" spans="1:11" ht="18" customHeight="1" x14ac:dyDescent="0.25">
      <c r="A11" s="9"/>
      <c r="B11" s="10"/>
      <c r="C11" s="138"/>
      <c r="D11" s="19"/>
      <c r="E11" s="10"/>
      <c r="F11" s="138"/>
      <c r="G11" s="12"/>
      <c r="H11" s="13"/>
      <c r="I11" s="14"/>
      <c r="J11" s="424"/>
      <c r="K11" s="425"/>
    </row>
    <row r="12" spans="1:11" ht="18" customHeight="1" x14ac:dyDescent="0.25">
      <c r="A12" s="9"/>
      <c r="B12" s="10"/>
      <c r="C12" s="138"/>
      <c r="D12" s="9"/>
      <c r="E12" s="10"/>
      <c r="F12" s="138"/>
      <c r="G12" s="12"/>
      <c r="H12" s="13"/>
      <c r="I12" s="14"/>
      <c r="J12" s="424"/>
      <c r="K12" s="425"/>
    </row>
    <row r="13" spans="1:11" ht="18" customHeight="1" x14ac:dyDescent="0.25">
      <c r="A13" s="9"/>
      <c r="B13" s="10"/>
      <c r="C13" s="138"/>
      <c r="D13" s="9"/>
      <c r="E13" s="10"/>
      <c r="F13" s="138"/>
      <c r="G13" s="12"/>
      <c r="H13" s="13"/>
      <c r="I13" s="14"/>
      <c r="J13" s="424"/>
      <c r="K13" s="425"/>
    </row>
    <row r="14" spans="1:11" ht="18" customHeight="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424"/>
      <c r="K14" s="425"/>
    </row>
    <row r="15" spans="1:11" ht="18" customHeight="1" x14ac:dyDescent="0.25">
      <c r="A15" s="9"/>
      <c r="B15" s="10"/>
      <c r="C15" s="138"/>
      <c r="D15" s="19"/>
      <c r="E15" s="10"/>
      <c r="F15" s="138"/>
      <c r="G15" s="12"/>
      <c r="H15" s="13"/>
      <c r="I15" s="14"/>
      <c r="J15" s="424"/>
      <c r="K15" s="425"/>
    </row>
    <row r="16" spans="1:11" ht="18" customHeight="1" x14ac:dyDescent="0.25">
      <c r="A16" s="9"/>
      <c r="B16" s="10"/>
      <c r="C16" s="138"/>
      <c r="D16" s="19"/>
      <c r="E16" s="10"/>
      <c r="F16" s="138"/>
      <c r="G16" s="12"/>
      <c r="H16" s="13"/>
      <c r="I16" s="14"/>
      <c r="J16" s="411"/>
      <c r="K16" s="412"/>
    </row>
    <row r="17" spans="1:11" ht="18" customHeight="1" x14ac:dyDescent="0.25">
      <c r="A17" s="9"/>
      <c r="B17" s="10"/>
      <c r="C17" s="138"/>
      <c r="D17" s="19"/>
      <c r="E17" s="10"/>
      <c r="F17" s="138"/>
      <c r="G17" s="12"/>
      <c r="H17" s="13"/>
      <c r="I17" s="14"/>
      <c r="J17" s="411"/>
      <c r="K17" s="412"/>
    </row>
    <row r="18" spans="1:11" ht="18" customHeight="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11"/>
      <c r="K18" s="412"/>
    </row>
    <row r="19" spans="1:11" ht="18" customHeight="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11"/>
      <c r="K19" s="412"/>
    </row>
    <row r="20" spans="1:11" ht="18" customHeight="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13"/>
      <c r="K20" s="414"/>
    </row>
    <row r="21" spans="1:11" ht="18" customHeight="1" x14ac:dyDescent="0.25">
      <c r="A21" s="9"/>
      <c r="B21" s="10"/>
      <c r="C21" s="11"/>
      <c r="D21" s="19"/>
      <c r="E21" s="10"/>
      <c r="F21" s="11"/>
      <c r="G21" s="12"/>
      <c r="H21" s="13"/>
      <c r="I21" s="71"/>
      <c r="J21" s="411"/>
      <c r="K21" s="412"/>
    </row>
    <row r="22" spans="1:11" ht="18" customHeight="1" x14ac:dyDescent="0.25">
      <c r="A22" s="9"/>
      <c r="B22" s="10"/>
      <c r="C22" s="11"/>
      <c r="D22" s="9"/>
      <c r="E22" s="10"/>
      <c r="F22" s="11"/>
      <c r="G22" s="12"/>
      <c r="H22" s="13"/>
      <c r="I22" s="71"/>
      <c r="J22" s="413"/>
      <c r="K22" s="414"/>
    </row>
    <row r="23" spans="1:11" ht="18" customHeight="1" x14ac:dyDescent="0.25">
      <c r="A23" s="9"/>
      <c r="B23" s="10"/>
      <c r="C23" s="11"/>
      <c r="D23" s="9"/>
      <c r="E23" s="10"/>
      <c r="F23" s="11"/>
      <c r="G23" s="72"/>
      <c r="H23" s="13"/>
      <c r="I23" s="71"/>
      <c r="J23" s="413"/>
      <c r="K23" s="414"/>
    </row>
    <row r="24" spans="1:11" ht="18" customHeight="1" x14ac:dyDescent="0.25">
      <c r="A24" s="9"/>
      <c r="B24" s="10"/>
      <c r="C24" s="11"/>
      <c r="D24" s="19"/>
      <c r="E24" s="10"/>
      <c r="F24" s="11"/>
      <c r="G24" s="12"/>
      <c r="H24" s="13"/>
      <c r="I24" s="71"/>
      <c r="J24" s="400"/>
      <c r="K24" s="401"/>
    </row>
    <row r="25" spans="1:11" ht="18" customHeight="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ht="18" customHeight="1" x14ac:dyDescent="0.25">
      <c r="A26" s="29"/>
      <c r="B26" s="29"/>
      <c r="C26" s="30"/>
      <c r="D26" s="29"/>
      <c r="E26" s="29"/>
      <c r="F26" s="30"/>
      <c r="G26" s="12"/>
      <c r="H26" s="13"/>
      <c r="I26" s="14"/>
      <c r="J26" s="400"/>
      <c r="K26" s="401"/>
    </row>
    <row r="27" spans="1:11" ht="18" customHeight="1" x14ac:dyDescent="0.25">
      <c r="A27" s="73" t="s">
        <v>21</v>
      </c>
      <c r="B27" s="74"/>
      <c r="C27" s="94" t="s">
        <v>35</v>
      </c>
      <c r="D27" s="75"/>
      <c r="E27" s="406" t="s">
        <v>36</v>
      </c>
      <c r="F27" s="410"/>
      <c r="G27" s="410"/>
      <c r="H27" s="407"/>
      <c r="I27" s="76"/>
      <c r="J27" s="400"/>
      <c r="K27" s="401"/>
    </row>
    <row r="28" spans="1:11" ht="18" customHeight="1" x14ac:dyDescent="0.25">
      <c r="A28" s="406"/>
      <c r="B28" s="407"/>
      <c r="C28" s="408"/>
      <c r="D28" s="409"/>
      <c r="E28" s="406"/>
      <c r="F28" s="410"/>
      <c r="G28" s="410"/>
      <c r="H28" s="407"/>
      <c r="I28" s="77"/>
      <c r="J28" s="400"/>
      <c r="K28" s="401"/>
    </row>
    <row r="29" spans="1:11" ht="18" customHeight="1" x14ac:dyDescent="0.25">
      <c r="A29" s="403"/>
      <c r="B29" s="404"/>
      <c r="C29" s="403"/>
      <c r="D29" s="404"/>
      <c r="E29" s="403"/>
      <c r="F29" s="405"/>
      <c r="G29" s="405"/>
      <c r="H29" s="404"/>
      <c r="I29" s="78"/>
      <c r="J29" s="400"/>
      <c r="K29" s="401"/>
    </row>
    <row r="30" spans="1:11" ht="18" customHeight="1" x14ac:dyDescent="0.25">
      <c r="A30" s="403"/>
      <c r="B30" s="404"/>
      <c r="C30" s="79"/>
      <c r="D30" s="80"/>
      <c r="E30" s="403"/>
      <c r="F30" s="405"/>
      <c r="G30" s="405"/>
      <c r="H30" s="404"/>
      <c r="I30" s="78"/>
      <c r="J30" s="400"/>
      <c r="K30" s="401"/>
    </row>
    <row r="31" spans="1:11" ht="18" customHeight="1" x14ac:dyDescent="0.25">
      <c r="A31" s="397" t="s">
        <v>37</v>
      </c>
      <c r="B31" s="398"/>
      <c r="C31" s="398"/>
      <c r="D31" s="398"/>
      <c r="E31" s="398"/>
      <c r="F31" s="398"/>
      <c r="G31" s="398"/>
      <c r="H31" s="399"/>
      <c r="I31" s="81">
        <f>SUM(I9:I24)</f>
        <v>36404</v>
      </c>
      <c r="J31" s="400"/>
      <c r="K31" s="401"/>
    </row>
    <row r="32" spans="1:11" ht="18" customHeight="1" x14ac:dyDescent="0.25">
      <c r="A32" s="82"/>
      <c r="B32" s="83"/>
      <c r="C32" s="83"/>
      <c r="D32" s="83"/>
      <c r="E32" s="83"/>
      <c r="F32" s="83"/>
      <c r="G32" s="83"/>
      <c r="H32" s="84"/>
      <c r="I32" s="85"/>
      <c r="J32" s="86"/>
      <c r="K32" s="86"/>
    </row>
    <row r="33" spans="1:11" ht="18" customHeight="1" x14ac:dyDescent="0.25">
      <c r="A33" s="86"/>
      <c r="B33" s="86"/>
      <c r="C33" s="86"/>
      <c r="D33" s="86"/>
      <c r="E33" s="86"/>
      <c r="F33" s="86"/>
      <c r="G33" s="86"/>
      <c r="H33" s="86"/>
      <c r="I33" s="86"/>
      <c r="J33" s="182"/>
      <c r="K33" s="182"/>
    </row>
    <row r="34" spans="1:11" ht="18" customHeight="1" x14ac:dyDescent="0.25">
      <c r="A34" s="447" t="s">
        <v>173</v>
      </c>
      <c r="B34" s="447"/>
      <c r="C34" s="447"/>
      <c r="D34" s="447"/>
      <c r="E34" s="447"/>
      <c r="F34" s="447"/>
      <c r="G34" s="447"/>
      <c r="H34" s="447"/>
      <c r="I34" s="447"/>
      <c r="J34" s="182"/>
      <c r="K34" s="182"/>
    </row>
    <row r="35" spans="1:11" ht="18" customHeight="1" x14ac:dyDescent="0.25">
      <c r="A35" s="447"/>
      <c r="B35" s="447"/>
      <c r="C35" s="447"/>
      <c r="D35" s="447"/>
      <c r="E35" s="447"/>
      <c r="F35" s="447"/>
      <c r="G35" s="447"/>
      <c r="H35" s="447"/>
      <c r="I35" s="447"/>
      <c r="J35" s="88"/>
      <c r="K35" s="88"/>
    </row>
    <row r="36" spans="1:11" ht="18" customHeight="1" x14ac:dyDescent="0.25">
      <c r="A36" s="87"/>
      <c r="B36" s="86"/>
      <c r="C36" s="86"/>
      <c r="D36" s="86"/>
      <c r="E36" s="86"/>
      <c r="F36" s="86"/>
      <c r="G36" s="86"/>
      <c r="H36" s="86"/>
      <c r="I36" s="86"/>
    </row>
    <row r="37" spans="1:11" ht="18" customHeight="1" x14ac:dyDescent="0.25">
      <c r="A37" s="89"/>
      <c r="B37" s="89"/>
      <c r="C37" s="89"/>
      <c r="D37" s="89"/>
      <c r="E37" s="89"/>
      <c r="F37" s="90"/>
      <c r="G37" s="90"/>
      <c r="H37" s="90"/>
      <c r="I37" s="86"/>
      <c r="J37" s="181"/>
      <c r="K37" s="181"/>
    </row>
    <row r="38" spans="1:11" ht="18" customHeight="1" x14ac:dyDescent="0.25">
      <c r="A38" s="89"/>
      <c r="B38" s="89"/>
      <c r="C38" s="89"/>
      <c r="D38" s="89"/>
      <c r="E38" s="89"/>
      <c r="F38" s="90"/>
      <c r="G38" s="90"/>
      <c r="H38" s="90"/>
      <c r="I38" s="181" t="s">
        <v>60</v>
      </c>
      <c r="J38" s="179"/>
      <c r="K38" s="179"/>
    </row>
    <row r="39" spans="1:11" ht="18" customHeight="1" x14ac:dyDescent="0.25">
      <c r="A39" s="89"/>
      <c r="B39" s="89"/>
      <c r="C39" s="90"/>
      <c r="D39" s="90"/>
      <c r="E39" s="90"/>
      <c r="F39" s="90"/>
      <c r="G39" s="90"/>
      <c r="H39" s="90"/>
      <c r="I39" s="179" t="s">
        <v>38</v>
      </c>
    </row>
    <row r="40" spans="1:11" ht="18" customHeight="1" x14ac:dyDescent="0.25">
      <c r="A40" s="89"/>
      <c r="B40" s="89"/>
      <c r="C40" s="90"/>
      <c r="D40" s="90"/>
      <c r="E40" s="90"/>
      <c r="F40" s="90"/>
      <c r="G40" s="90"/>
      <c r="H40" s="90"/>
      <c r="I40" s="86"/>
    </row>
    <row r="41" spans="1:11" ht="18" customHeight="1" x14ac:dyDescent="0.25">
      <c r="A41" s="91" t="s">
        <v>39</v>
      </c>
      <c r="B41" s="89"/>
      <c r="C41" s="89"/>
      <c r="D41" s="89"/>
      <c r="E41" s="89"/>
      <c r="F41" s="89"/>
      <c r="G41" s="89"/>
      <c r="H41" s="89"/>
      <c r="I41" s="86"/>
      <c r="J41" s="180"/>
      <c r="K41" s="180"/>
    </row>
    <row r="42" spans="1:11" ht="18" customHeight="1" x14ac:dyDescent="0.25">
      <c r="A42" s="91" t="s">
        <v>171</v>
      </c>
      <c r="B42" s="89"/>
      <c r="C42" s="90"/>
      <c r="D42" s="90"/>
      <c r="E42" s="90"/>
      <c r="F42" s="89"/>
      <c r="G42" s="89"/>
      <c r="H42" s="89"/>
      <c r="I42" s="180" t="s">
        <v>57</v>
      </c>
      <c r="J42" s="180"/>
      <c r="K42" s="180"/>
    </row>
    <row r="43" spans="1:11" ht="18" customHeight="1" x14ac:dyDescent="0.25">
      <c r="A43" s="89"/>
      <c r="B43" s="89"/>
      <c r="C43" s="90"/>
      <c r="D43" s="90"/>
      <c r="E43" s="90"/>
      <c r="F43" s="90"/>
      <c r="G43" s="90"/>
      <c r="H43" s="90"/>
      <c r="I43" s="180" t="s">
        <v>40</v>
      </c>
    </row>
    <row r="44" spans="1:11" ht="18" customHeight="1" x14ac:dyDescent="0.25">
      <c r="A44" s="89"/>
      <c r="B44" s="89"/>
      <c r="C44" s="90"/>
      <c r="D44" s="90"/>
      <c r="E44" s="90"/>
      <c r="F44" s="90"/>
      <c r="G44" s="90"/>
      <c r="H44" s="90"/>
    </row>
    <row r="45" spans="1:11" ht="18" customHeight="1" x14ac:dyDescent="0.25">
      <c r="A45" s="86"/>
      <c r="B45" s="86"/>
      <c r="C45" s="86"/>
      <c r="D45" s="86"/>
      <c r="E45" s="86"/>
      <c r="F45" s="86"/>
      <c r="G45" s="86"/>
      <c r="H45" s="86"/>
      <c r="I45" s="88"/>
    </row>
    <row r="46" spans="1:11" x14ac:dyDescent="0.25">
      <c r="A46" s="92"/>
      <c r="B46" s="86"/>
      <c r="C46" s="86"/>
      <c r="D46" s="86"/>
      <c r="E46" s="86"/>
      <c r="F46" s="86"/>
      <c r="G46" s="86"/>
      <c r="H46" s="86"/>
      <c r="I46" s="86"/>
    </row>
  </sheetData>
  <mergeCells count="44">
    <mergeCell ref="A34:I35"/>
    <mergeCell ref="A4:I4"/>
    <mergeCell ref="J16:K16"/>
    <mergeCell ref="A5:I5"/>
    <mergeCell ref="A6:K6"/>
    <mergeCell ref="I7:I8"/>
    <mergeCell ref="J7:K8"/>
    <mergeCell ref="J9:K9"/>
    <mergeCell ref="J10:K10"/>
    <mergeCell ref="J11:K11"/>
    <mergeCell ref="J12:K12"/>
    <mergeCell ref="J13:K13"/>
    <mergeCell ref="J14:K14"/>
    <mergeCell ref="J15:K15"/>
    <mergeCell ref="A28:B28"/>
    <mergeCell ref="C28:D28"/>
    <mergeCell ref="A1:K1"/>
    <mergeCell ref="A2:I2"/>
    <mergeCell ref="J2:K2"/>
    <mergeCell ref="A3:I3"/>
    <mergeCell ref="J3:K3"/>
    <mergeCell ref="E28:H28"/>
    <mergeCell ref="J27:K27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E27:H27"/>
    <mergeCell ref="J26:K26"/>
    <mergeCell ref="J28:K28"/>
    <mergeCell ref="A31:H31"/>
    <mergeCell ref="J30:K30"/>
    <mergeCell ref="J31:K31"/>
    <mergeCell ref="A29:B29"/>
    <mergeCell ref="C29:D29"/>
    <mergeCell ref="E29:H29"/>
    <mergeCell ref="A30:B30"/>
    <mergeCell ref="E30:H30"/>
    <mergeCell ref="J29:K2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6" workbookViewId="0">
      <selection activeCell="M31" sqref="M31"/>
    </sheetView>
  </sheetViews>
  <sheetFormatPr baseColWidth="10" defaultRowHeight="15" x14ac:dyDescent="0.25"/>
  <cols>
    <col min="1" max="1" width="4.28515625" customWidth="1"/>
    <col min="2" max="2" width="5" customWidth="1"/>
    <col min="3" max="3" width="6.5703125" customWidth="1"/>
    <col min="4" max="4" width="9" customWidth="1"/>
    <col min="5" max="5" width="5.28515625" customWidth="1"/>
    <col min="6" max="6" width="7" customWidth="1"/>
    <col min="7" max="7" width="6.140625" customWidth="1"/>
    <col min="8" max="8" width="11.7109375" customWidth="1"/>
    <col min="9" max="9" width="13.42578125" customWidth="1"/>
    <col min="10" max="10" width="6" customWidth="1"/>
    <col min="11" max="11" width="9.28515625" customWidth="1"/>
  </cols>
  <sheetData>
    <row r="1" spans="1:11" x14ac:dyDescent="0.25">
      <c r="A1" s="429" t="s">
        <v>28</v>
      </c>
      <c r="B1" s="430"/>
      <c r="C1" s="430"/>
      <c r="D1" s="430"/>
      <c r="E1" s="430"/>
      <c r="F1" s="430"/>
      <c r="G1" s="430"/>
      <c r="H1" s="430"/>
      <c r="I1" s="430"/>
      <c r="J1" s="430"/>
      <c r="K1" s="431"/>
    </row>
    <row r="2" spans="1:11" x14ac:dyDescent="0.25">
      <c r="A2" s="429" t="s">
        <v>138</v>
      </c>
      <c r="B2" s="430"/>
      <c r="C2" s="430"/>
      <c r="D2" s="430"/>
      <c r="E2" s="430"/>
      <c r="F2" s="430"/>
      <c r="G2" s="430"/>
      <c r="H2" s="430"/>
      <c r="I2" s="431"/>
      <c r="J2" s="406" t="s">
        <v>29</v>
      </c>
      <c r="K2" s="407"/>
    </row>
    <row r="3" spans="1:11" x14ac:dyDescent="0.25">
      <c r="A3" s="429" t="s">
        <v>135</v>
      </c>
      <c r="B3" s="430"/>
      <c r="C3" s="430"/>
      <c r="D3" s="430"/>
      <c r="E3" s="430"/>
      <c r="F3" s="430"/>
      <c r="G3" s="430"/>
      <c r="H3" s="430"/>
      <c r="I3" s="431"/>
      <c r="J3" s="432" t="s">
        <v>11</v>
      </c>
      <c r="K3" s="433"/>
    </row>
    <row r="4" spans="1:11" x14ac:dyDescent="0.25">
      <c r="A4" s="426" t="s">
        <v>30</v>
      </c>
      <c r="B4" s="427"/>
      <c r="C4" s="427"/>
      <c r="D4" s="427"/>
      <c r="E4" s="427"/>
      <c r="F4" s="427"/>
      <c r="G4" s="427"/>
      <c r="H4" s="427"/>
      <c r="I4" s="428"/>
      <c r="J4" s="64" t="s">
        <v>31</v>
      </c>
      <c r="K4" s="64" t="s">
        <v>32</v>
      </c>
    </row>
    <row r="5" spans="1:11" x14ac:dyDescent="0.25">
      <c r="A5" s="406"/>
      <c r="B5" s="410"/>
      <c r="C5" s="410"/>
      <c r="D5" s="410"/>
      <c r="E5" s="410"/>
      <c r="F5" s="410"/>
      <c r="G5" s="410"/>
      <c r="H5" s="410"/>
      <c r="I5" s="407"/>
      <c r="J5" s="65"/>
      <c r="K5" s="65"/>
    </row>
    <row r="6" spans="1:11" x14ac:dyDescent="0.25">
      <c r="A6" s="415">
        <f>'ALEJANDRO J'!A6:J6</f>
        <v>0</v>
      </c>
      <c r="B6" s="416"/>
      <c r="C6" s="416"/>
      <c r="D6" s="416"/>
      <c r="E6" s="416"/>
      <c r="F6" s="416"/>
      <c r="G6" s="416"/>
      <c r="H6" s="416"/>
      <c r="I6" s="416"/>
      <c r="J6" s="416"/>
      <c r="K6" s="417"/>
    </row>
    <row r="7" spans="1:11" x14ac:dyDescent="0.25">
      <c r="A7" s="66" t="s">
        <v>2</v>
      </c>
      <c r="B7" s="208"/>
      <c r="C7" s="209"/>
      <c r="D7" s="207" t="s">
        <v>6</v>
      </c>
      <c r="E7" s="208"/>
      <c r="F7" s="209"/>
      <c r="G7" s="207" t="s">
        <v>7</v>
      </c>
      <c r="H7" s="209"/>
      <c r="I7" s="418" t="s">
        <v>10</v>
      </c>
      <c r="J7" s="420" t="s">
        <v>33</v>
      </c>
      <c r="K7" s="421"/>
    </row>
    <row r="8" spans="1:11" x14ac:dyDescent="0.25">
      <c r="A8" s="70" t="s">
        <v>3</v>
      </c>
      <c r="B8" s="70" t="s">
        <v>4</v>
      </c>
      <c r="C8" s="70" t="s">
        <v>5</v>
      </c>
      <c r="D8" s="70" t="s">
        <v>3</v>
      </c>
      <c r="E8" s="70" t="s">
        <v>4</v>
      </c>
      <c r="F8" s="70" t="s">
        <v>5</v>
      </c>
      <c r="G8" s="70" t="s">
        <v>34</v>
      </c>
      <c r="H8" s="70" t="s">
        <v>9</v>
      </c>
      <c r="I8" s="419"/>
      <c r="J8" s="422"/>
      <c r="K8" s="423"/>
    </row>
    <row r="9" spans="1:11" x14ac:dyDescent="0.25">
      <c r="A9" s="9">
        <v>26</v>
      </c>
      <c r="B9" s="10">
        <v>8</v>
      </c>
      <c r="C9" s="138" t="s">
        <v>119</v>
      </c>
      <c r="D9" s="19">
        <v>27</v>
      </c>
      <c r="E9" s="10">
        <v>8</v>
      </c>
      <c r="F9" s="138" t="s">
        <v>127</v>
      </c>
      <c r="G9" s="12">
        <v>0.25</v>
      </c>
      <c r="H9" s="13">
        <v>67683</v>
      </c>
      <c r="I9" s="14">
        <f t="shared" ref="I9" si="0">H9*G9</f>
        <v>16920.75</v>
      </c>
      <c r="J9" s="424"/>
      <c r="K9" s="425"/>
    </row>
    <row r="10" spans="1:11" x14ac:dyDescent="0.25">
      <c r="A10" s="9"/>
      <c r="B10" s="10"/>
      <c r="C10" s="138"/>
      <c r="D10" s="9"/>
      <c r="E10" s="10"/>
      <c r="F10" s="138"/>
      <c r="G10" s="12"/>
      <c r="H10" s="13"/>
      <c r="I10" s="14"/>
      <c r="J10" s="424"/>
      <c r="K10" s="425"/>
    </row>
    <row r="11" spans="1:11" x14ac:dyDescent="0.25">
      <c r="A11" s="9"/>
      <c r="B11" s="10"/>
      <c r="C11" s="138"/>
      <c r="D11" s="19"/>
      <c r="E11" s="10"/>
      <c r="F11" s="138"/>
      <c r="G11" s="12"/>
      <c r="H11" s="13"/>
      <c r="I11" s="14"/>
      <c r="J11" s="424"/>
      <c r="K11" s="425"/>
    </row>
    <row r="12" spans="1:11" x14ac:dyDescent="0.25">
      <c r="A12" s="9"/>
      <c r="B12" s="10"/>
      <c r="C12" s="138"/>
      <c r="D12" s="9"/>
      <c r="E12" s="10"/>
      <c r="F12" s="138"/>
      <c r="G12" s="12"/>
      <c r="H12" s="13"/>
      <c r="I12" s="14"/>
      <c r="J12" s="424"/>
      <c r="K12" s="425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424"/>
      <c r="K13" s="425"/>
    </row>
    <row r="14" spans="1:11" x14ac:dyDescent="0.25">
      <c r="A14" s="9"/>
      <c r="B14" s="10"/>
      <c r="C14" s="138"/>
      <c r="D14" s="19"/>
      <c r="E14" s="10"/>
      <c r="F14" s="139"/>
      <c r="G14" s="12"/>
      <c r="H14" s="13"/>
      <c r="I14" s="14"/>
      <c r="J14" s="424"/>
      <c r="K14" s="425"/>
    </row>
    <row r="15" spans="1:11" x14ac:dyDescent="0.25">
      <c r="A15" s="9"/>
      <c r="B15" s="10"/>
      <c r="C15" s="138"/>
      <c r="D15" s="19"/>
      <c r="E15" s="10"/>
      <c r="F15" s="138"/>
      <c r="G15" s="12"/>
      <c r="H15" s="13"/>
      <c r="I15" s="14"/>
      <c r="J15" s="424"/>
      <c r="K15" s="425"/>
    </row>
    <row r="16" spans="1:11" x14ac:dyDescent="0.25">
      <c r="A16" s="9"/>
      <c r="B16" s="10"/>
      <c r="C16" s="138"/>
      <c r="D16" s="19"/>
      <c r="E16" s="10"/>
      <c r="F16" s="138"/>
      <c r="G16" s="12"/>
      <c r="H16" s="13"/>
      <c r="I16" s="14"/>
      <c r="J16" s="411"/>
      <c r="K16" s="412"/>
    </row>
    <row r="17" spans="1:11" x14ac:dyDescent="0.25">
      <c r="A17" s="9"/>
      <c r="B17" s="10"/>
      <c r="C17" s="138"/>
      <c r="D17" s="9"/>
      <c r="E17" s="10"/>
      <c r="F17" s="138"/>
      <c r="G17" s="12"/>
      <c r="H17" s="13"/>
      <c r="I17" s="14"/>
      <c r="J17" s="411"/>
      <c r="K17" s="412"/>
    </row>
    <row r="18" spans="1:1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11"/>
      <c r="K18" s="412"/>
    </row>
    <row r="19" spans="1:1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11"/>
      <c r="K19" s="412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13"/>
      <c r="K20" s="414"/>
    </row>
    <row r="21" spans="1:11" x14ac:dyDescent="0.25">
      <c r="A21" s="9"/>
      <c r="B21" s="10"/>
      <c r="C21" s="11"/>
      <c r="D21" s="19"/>
      <c r="E21" s="10"/>
      <c r="F21" s="11"/>
      <c r="G21" s="12"/>
      <c r="H21" s="13"/>
      <c r="I21" s="71"/>
      <c r="J21" s="411"/>
      <c r="K21" s="412"/>
    </row>
    <row r="22" spans="1:11" x14ac:dyDescent="0.25">
      <c r="A22" s="9"/>
      <c r="B22" s="10"/>
      <c r="C22" s="11"/>
      <c r="D22" s="9"/>
      <c r="E22" s="10"/>
      <c r="F22" s="11"/>
      <c r="G22" s="12"/>
      <c r="H22" s="13"/>
      <c r="I22" s="71"/>
      <c r="J22" s="413"/>
      <c r="K22" s="414"/>
    </row>
    <row r="23" spans="1:11" x14ac:dyDescent="0.25">
      <c r="A23" s="9"/>
      <c r="B23" s="10"/>
      <c r="C23" s="11"/>
      <c r="D23" s="9"/>
      <c r="E23" s="10"/>
      <c r="F23" s="11"/>
      <c r="G23" s="72"/>
      <c r="H23" s="13"/>
      <c r="I23" s="71"/>
      <c r="J23" s="413"/>
      <c r="K23" s="414"/>
    </row>
    <row r="24" spans="1:11" x14ac:dyDescent="0.25">
      <c r="A24" s="9"/>
      <c r="B24" s="10"/>
      <c r="C24" s="11"/>
      <c r="D24" s="19"/>
      <c r="E24" s="10"/>
      <c r="F24" s="11"/>
      <c r="G24" s="12"/>
      <c r="H24" s="13"/>
      <c r="I24" s="71"/>
      <c r="J24" s="400"/>
      <c r="K24" s="401"/>
    </row>
    <row r="25" spans="1:11" x14ac:dyDescent="0.25">
      <c r="A25" s="29"/>
      <c r="B25" s="29"/>
      <c r="C25" s="30"/>
      <c r="D25" s="29"/>
      <c r="E25" s="29"/>
      <c r="F25" s="30"/>
      <c r="G25" s="12"/>
      <c r="H25" s="13"/>
      <c r="I25" s="14"/>
      <c r="J25" s="400"/>
      <c r="K25" s="401"/>
    </row>
    <row r="26" spans="1:11" x14ac:dyDescent="0.25">
      <c r="A26" s="29"/>
      <c r="B26" s="29"/>
      <c r="C26" s="30"/>
      <c r="D26" s="29"/>
      <c r="E26" s="29"/>
      <c r="F26" s="30"/>
      <c r="G26" s="12"/>
      <c r="H26" s="13"/>
      <c r="I26" s="14"/>
      <c r="J26" s="400"/>
      <c r="K26" s="401"/>
    </row>
    <row r="27" spans="1:11" x14ac:dyDescent="0.25">
      <c r="A27" s="210" t="s">
        <v>21</v>
      </c>
      <c r="B27" s="74"/>
      <c r="C27" s="94" t="s">
        <v>35</v>
      </c>
      <c r="D27" s="206"/>
      <c r="E27" s="406" t="s">
        <v>36</v>
      </c>
      <c r="F27" s="410"/>
      <c r="G27" s="410"/>
      <c r="H27" s="407"/>
      <c r="I27" s="214"/>
      <c r="J27" s="400"/>
      <c r="K27" s="401"/>
    </row>
    <row r="28" spans="1:11" x14ac:dyDescent="0.25">
      <c r="A28" s="406"/>
      <c r="B28" s="407"/>
      <c r="C28" s="408"/>
      <c r="D28" s="409"/>
      <c r="E28" s="406"/>
      <c r="F28" s="410"/>
      <c r="G28" s="410"/>
      <c r="H28" s="407"/>
      <c r="I28" s="215"/>
      <c r="J28" s="400"/>
      <c r="K28" s="401"/>
    </row>
    <row r="29" spans="1:11" x14ac:dyDescent="0.25">
      <c r="A29" s="403"/>
      <c r="B29" s="404"/>
      <c r="C29" s="403"/>
      <c r="D29" s="404"/>
      <c r="E29" s="403"/>
      <c r="F29" s="405"/>
      <c r="G29" s="405"/>
      <c r="H29" s="404"/>
      <c r="I29" s="78"/>
      <c r="J29" s="400"/>
      <c r="K29" s="401"/>
    </row>
    <row r="30" spans="1:11" x14ac:dyDescent="0.25">
      <c r="A30" s="403"/>
      <c r="B30" s="404"/>
      <c r="C30" s="79"/>
      <c r="D30" s="80"/>
      <c r="E30" s="403"/>
      <c r="F30" s="405"/>
      <c r="G30" s="405"/>
      <c r="H30" s="404"/>
      <c r="I30" s="78"/>
      <c r="J30" s="400"/>
      <c r="K30" s="401"/>
    </row>
    <row r="31" spans="1:11" x14ac:dyDescent="0.25">
      <c r="A31" s="397" t="s">
        <v>37</v>
      </c>
      <c r="B31" s="398"/>
      <c r="C31" s="398"/>
      <c r="D31" s="398"/>
      <c r="E31" s="398"/>
      <c r="F31" s="398"/>
      <c r="G31" s="398"/>
      <c r="H31" s="399"/>
      <c r="I31" s="81">
        <v>0</v>
      </c>
      <c r="J31" s="400"/>
      <c r="K31" s="401"/>
    </row>
    <row r="32" spans="1:11" x14ac:dyDescent="0.25">
      <c r="A32" s="82"/>
      <c r="B32" s="83"/>
      <c r="C32" s="83"/>
      <c r="D32" s="83"/>
      <c r="E32" s="83"/>
      <c r="F32" s="83"/>
      <c r="G32" s="83"/>
      <c r="H32" s="84"/>
      <c r="I32" s="85"/>
      <c r="J32" s="86"/>
      <c r="K32" s="86"/>
    </row>
    <row r="33" spans="1:11" x14ac:dyDescent="0.25">
      <c r="A33" s="86"/>
      <c r="B33" s="86"/>
      <c r="C33" s="86"/>
      <c r="D33" s="86"/>
      <c r="E33" s="86"/>
      <c r="F33" s="86"/>
      <c r="G33" s="86"/>
      <c r="H33" s="86"/>
      <c r="I33" s="86"/>
      <c r="J33" s="182"/>
      <c r="K33" s="182"/>
    </row>
    <row r="34" spans="1:11" ht="15" customHeight="1" x14ac:dyDescent="0.25">
      <c r="A34" s="447" t="s">
        <v>141</v>
      </c>
      <c r="B34" s="447"/>
      <c r="C34" s="447"/>
      <c r="D34" s="447"/>
      <c r="E34" s="447"/>
      <c r="F34" s="447"/>
      <c r="G34" s="447"/>
      <c r="H34" s="447"/>
      <c r="I34" s="447"/>
      <c r="J34" s="182"/>
      <c r="K34" s="182"/>
    </row>
    <row r="35" spans="1:11" x14ac:dyDescent="0.25">
      <c r="A35" s="447"/>
      <c r="B35" s="447"/>
      <c r="C35" s="447"/>
      <c r="D35" s="447"/>
      <c r="E35" s="447"/>
      <c r="F35" s="447"/>
      <c r="G35" s="447"/>
      <c r="H35" s="447"/>
      <c r="I35" s="447"/>
      <c r="J35" s="211"/>
      <c r="K35" s="211"/>
    </row>
    <row r="36" spans="1:11" x14ac:dyDescent="0.25">
      <c r="A36" s="87"/>
      <c r="B36" s="86"/>
      <c r="C36" s="86"/>
      <c r="D36" s="86"/>
      <c r="E36" s="86"/>
      <c r="F36" s="86"/>
      <c r="G36" s="86"/>
      <c r="H36" s="86"/>
      <c r="I36" s="86"/>
    </row>
    <row r="37" spans="1:11" x14ac:dyDescent="0.25">
      <c r="A37" s="212"/>
      <c r="B37" s="212"/>
      <c r="C37" s="212"/>
      <c r="D37" s="212"/>
      <c r="E37" s="212"/>
      <c r="F37" s="213"/>
      <c r="G37" s="213"/>
      <c r="H37" s="213" t="s">
        <v>61</v>
      </c>
      <c r="I37" s="86"/>
      <c r="J37" s="204"/>
      <c r="K37" s="204"/>
    </row>
    <row r="38" spans="1:11" x14ac:dyDescent="0.25">
      <c r="A38" s="212" t="s">
        <v>39</v>
      </c>
      <c r="B38" s="212"/>
      <c r="C38" s="212"/>
      <c r="D38" s="212"/>
      <c r="E38" s="212"/>
      <c r="F38" s="213"/>
      <c r="G38" s="213"/>
      <c r="H38" s="213" t="s">
        <v>38</v>
      </c>
      <c r="I38" s="204"/>
      <c r="J38" s="211"/>
      <c r="K38" s="211"/>
    </row>
    <row r="39" spans="1:11" x14ac:dyDescent="0.25">
      <c r="A39" s="212" t="str">
        <f>'ALEJANDRO J'!A41</f>
        <v>SAN CRISTOBAL, JUNIO DE 2026</v>
      </c>
      <c r="B39" s="212"/>
      <c r="C39" s="213"/>
      <c r="D39" s="213"/>
      <c r="E39" s="213"/>
      <c r="F39" s="213"/>
      <c r="G39" s="213"/>
      <c r="H39" s="213"/>
      <c r="I39" s="211"/>
    </row>
    <row r="40" spans="1:11" x14ac:dyDescent="0.25">
      <c r="A40" s="212"/>
      <c r="B40" s="212"/>
      <c r="C40" s="213"/>
      <c r="D40" s="213"/>
      <c r="E40" s="213"/>
      <c r="F40" s="213"/>
      <c r="G40" s="213"/>
      <c r="H40" s="213" t="s">
        <v>61</v>
      </c>
      <c r="I40" s="86"/>
    </row>
    <row r="41" spans="1:11" x14ac:dyDescent="0.25">
      <c r="A41" s="216"/>
      <c r="B41" s="212"/>
      <c r="C41" s="212"/>
      <c r="D41" s="212"/>
      <c r="E41" s="212"/>
      <c r="F41" s="212"/>
      <c r="G41" s="212"/>
      <c r="H41" s="212" t="s">
        <v>40</v>
      </c>
      <c r="I41" s="86"/>
      <c r="J41" s="203"/>
      <c r="K41" s="203"/>
    </row>
    <row r="42" spans="1:11" x14ac:dyDescent="0.25">
      <c r="A42" s="216"/>
      <c r="B42" s="212"/>
      <c r="C42" s="213"/>
      <c r="D42" s="213"/>
      <c r="E42" s="213"/>
      <c r="F42" s="212"/>
      <c r="G42" s="212"/>
      <c r="H42" s="212"/>
      <c r="I42" s="203"/>
      <c r="J42" s="203"/>
      <c r="K42" s="203"/>
    </row>
    <row r="43" spans="1:11" x14ac:dyDescent="0.25">
      <c r="A43" s="212"/>
      <c r="B43" s="212"/>
      <c r="C43" s="213"/>
      <c r="D43" s="213"/>
      <c r="E43" s="213"/>
      <c r="F43" s="213"/>
      <c r="G43" s="213"/>
      <c r="H43" s="213"/>
      <c r="I43" s="203"/>
    </row>
    <row r="44" spans="1:11" x14ac:dyDescent="0.25">
      <c r="A44" s="212"/>
      <c r="B44" s="212"/>
      <c r="C44" s="213"/>
      <c r="D44" s="213"/>
      <c r="E44" s="213"/>
      <c r="F44" s="213"/>
      <c r="G44" s="213"/>
      <c r="H44" s="213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211"/>
    </row>
    <row r="46" spans="1:11" x14ac:dyDescent="0.25">
      <c r="A46" s="92"/>
      <c r="B46" s="86"/>
      <c r="C46" s="86"/>
      <c r="D46" s="86"/>
      <c r="E46" s="86"/>
      <c r="F46" s="86"/>
      <c r="G46" s="86"/>
      <c r="H46" s="86"/>
      <c r="I46" s="86"/>
    </row>
  </sheetData>
  <mergeCells count="44">
    <mergeCell ref="J10:K10"/>
    <mergeCell ref="A1:K1"/>
    <mergeCell ref="A2:I2"/>
    <mergeCell ref="J2:K2"/>
    <mergeCell ref="A3:I3"/>
    <mergeCell ref="J3:K3"/>
    <mergeCell ref="A4:I4"/>
    <mergeCell ref="A5:I5"/>
    <mergeCell ref="A6:K6"/>
    <mergeCell ref="I7:I8"/>
    <mergeCell ref="J7:K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3:K23"/>
    <mergeCell ref="J24:K24"/>
    <mergeCell ref="J25:K25"/>
    <mergeCell ref="J26:K26"/>
    <mergeCell ref="E27:H27"/>
    <mergeCell ref="J27:K27"/>
    <mergeCell ref="A34:I35"/>
    <mergeCell ref="A28:B28"/>
    <mergeCell ref="C28:D28"/>
    <mergeCell ref="E28:H28"/>
    <mergeCell ref="J28:K28"/>
    <mergeCell ref="A29:B29"/>
    <mergeCell ref="C29:D29"/>
    <mergeCell ref="E29:H29"/>
    <mergeCell ref="J29:K29"/>
    <mergeCell ref="A30:B30"/>
    <mergeCell ref="E30:H30"/>
    <mergeCell ref="J30:K30"/>
    <mergeCell ref="A31:H31"/>
    <mergeCell ref="J31:K31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workbookViewId="0">
      <selection activeCell="L39" sqref="L39"/>
    </sheetView>
  </sheetViews>
  <sheetFormatPr baseColWidth="10" defaultRowHeight="15" x14ac:dyDescent="0.25"/>
  <cols>
    <col min="1" max="1" width="5.5703125" customWidth="1"/>
    <col min="2" max="2" width="6" customWidth="1"/>
    <col min="3" max="3" width="7.28515625" customWidth="1"/>
    <col min="4" max="5" width="5.42578125" customWidth="1"/>
    <col min="6" max="6" width="7.7109375" customWidth="1"/>
    <col min="7" max="7" width="6.85546875" customWidth="1"/>
    <col min="8" max="8" width="12.85546875" customWidth="1"/>
    <col min="9" max="9" width="14.28515625" customWidth="1"/>
    <col min="10" max="10" width="6" customWidth="1"/>
    <col min="11" max="11" width="9.85546875" customWidth="1"/>
  </cols>
  <sheetData>
    <row r="1" spans="1:11" ht="1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103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100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06"/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171"/>
      <c r="C10" s="172"/>
      <c r="D10" s="170" t="s">
        <v>6</v>
      </c>
      <c r="E10" s="171"/>
      <c r="F10" s="172"/>
      <c r="G10" s="170" t="s">
        <v>7</v>
      </c>
      <c r="H10" s="172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9</v>
      </c>
      <c r="B12" s="10">
        <v>2</v>
      </c>
      <c r="C12" s="138" t="s">
        <v>81</v>
      </c>
      <c r="D12" s="22">
        <v>10</v>
      </c>
      <c r="E12" s="10">
        <v>2</v>
      </c>
      <c r="F12" s="138" t="s">
        <v>82</v>
      </c>
      <c r="G12" s="12">
        <v>0.5</v>
      </c>
      <c r="H12" s="13">
        <v>60845</v>
      </c>
      <c r="I12" s="14">
        <f t="shared" ref="I12" si="0">H12*G12</f>
        <v>30422.5</v>
      </c>
      <c r="J12" s="448"/>
      <c r="K12" s="44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448"/>
      <c r="K13" s="449"/>
    </row>
    <row r="14" spans="1:11" x14ac:dyDescent="0.25">
      <c r="A14" s="9"/>
      <c r="B14" s="10"/>
      <c r="C14" s="138"/>
      <c r="D14" s="19"/>
      <c r="E14" s="10"/>
      <c r="F14" s="139"/>
      <c r="G14" s="12"/>
      <c r="H14" s="13"/>
      <c r="I14" s="14"/>
      <c r="J14" s="448"/>
      <c r="K14" s="449"/>
    </row>
    <row r="15" spans="1:11" x14ac:dyDescent="0.25">
      <c r="A15" s="9"/>
      <c r="B15" s="10"/>
      <c r="C15" s="138"/>
      <c r="D15" s="19"/>
      <c r="E15" s="10"/>
      <c r="F15" s="138"/>
      <c r="G15" s="12"/>
      <c r="H15" s="13"/>
      <c r="I15" s="14"/>
      <c r="J15" s="448"/>
      <c r="K15" s="449"/>
    </row>
    <row r="16" spans="1:11" x14ac:dyDescent="0.25">
      <c r="A16" s="23"/>
      <c r="B16" s="10"/>
      <c r="C16" s="138"/>
      <c r="D16" s="9"/>
      <c r="E16" s="10"/>
      <c r="F16" s="138"/>
      <c r="G16" s="12"/>
      <c r="H16" s="13"/>
      <c r="I16" s="14"/>
      <c r="J16" s="448"/>
      <c r="K16" s="449"/>
    </row>
    <row r="17" spans="1:11" x14ac:dyDescent="0.25">
      <c r="A17" s="9"/>
      <c r="B17" s="10"/>
      <c r="C17" s="138"/>
      <c r="D17" s="9"/>
      <c r="E17" s="10"/>
      <c r="F17" s="138"/>
      <c r="G17" s="12"/>
      <c r="H17" s="13"/>
      <c r="I17" s="14"/>
      <c r="J17" s="448"/>
      <c r="K17" s="449"/>
    </row>
    <row r="18" spans="1:1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48"/>
      <c r="K18" s="449"/>
    </row>
    <row r="19" spans="1:11" x14ac:dyDescent="0.25">
      <c r="A19" s="9"/>
      <c r="B19" s="10"/>
      <c r="C19" s="138"/>
      <c r="D19" s="19"/>
      <c r="E19" s="10"/>
      <c r="F19" s="138"/>
      <c r="G19" s="12"/>
      <c r="H19" s="13"/>
      <c r="I19" s="14"/>
      <c r="J19" s="448"/>
      <c r="K19" s="449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48"/>
      <c r="K20" s="449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48"/>
      <c r="K21" s="449"/>
    </row>
    <row r="22" spans="1:11" x14ac:dyDescent="0.25">
      <c r="A22" s="9"/>
      <c r="B22" s="10"/>
      <c r="C22" s="138"/>
      <c r="D22" s="1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9"/>
      <c r="E26" s="10"/>
      <c r="F26" s="138"/>
      <c r="G26" s="12"/>
      <c r="H26" s="13"/>
      <c r="I26" s="14"/>
      <c r="J26" s="448"/>
      <c r="K26" s="449"/>
    </row>
    <row r="27" spans="1:11" x14ac:dyDescent="0.25">
      <c r="A27" s="25"/>
      <c r="B27" s="25"/>
      <c r="C27" s="26"/>
      <c r="D27" s="25"/>
      <c r="E27" s="25"/>
      <c r="F27" s="26"/>
      <c r="G27" s="27"/>
      <c r="H27" s="13"/>
      <c r="I27" s="14"/>
      <c r="J27" s="448"/>
      <c r="K27" s="449"/>
    </row>
    <row r="28" spans="1:11" x14ac:dyDescent="0.25">
      <c r="A28" s="25"/>
      <c r="B28" s="25"/>
      <c r="C28" s="26"/>
      <c r="D28" s="25"/>
      <c r="E28" s="25"/>
      <c r="F28" s="26"/>
      <c r="G28" s="27"/>
      <c r="H28" s="13"/>
      <c r="I28" s="14"/>
      <c r="J28" s="448"/>
      <c r="K28" s="449"/>
    </row>
    <row r="29" spans="1:11" x14ac:dyDescent="0.25">
      <c r="A29" s="29"/>
      <c r="B29" s="29"/>
      <c r="C29" s="30"/>
      <c r="D29" s="29"/>
      <c r="E29" s="29"/>
      <c r="F29" s="30"/>
      <c r="G29" s="12"/>
      <c r="H29" s="13"/>
      <c r="I29" s="1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105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105"/>
      <c r="J32" s="448"/>
      <c r="K32" s="449"/>
    </row>
    <row r="33" spans="1:11" x14ac:dyDescent="0.25">
      <c r="A33" s="456"/>
      <c r="B33" s="456"/>
      <c r="C33" s="456"/>
      <c r="D33" s="456"/>
      <c r="E33" s="173"/>
      <c r="F33" s="173"/>
      <c r="G33" s="173"/>
      <c r="H33" s="108" t="s">
        <v>47</v>
      </c>
      <c r="I33" s="109">
        <f>SUM(I12:I32)</f>
        <v>30422.5</v>
      </c>
      <c r="J33" s="457"/>
      <c r="K33" s="457"/>
    </row>
    <row r="34" spans="1:11" x14ac:dyDescent="0.25">
      <c r="A34" s="456"/>
      <c r="B34" s="456"/>
      <c r="C34" s="456"/>
      <c r="D34" s="456"/>
      <c r="E34" s="173"/>
      <c r="F34" s="173"/>
      <c r="G34" s="173"/>
      <c r="H34" s="173"/>
      <c r="I34" s="110"/>
      <c r="J34" s="110"/>
      <c r="K34" s="110"/>
    </row>
    <row r="35" spans="1:11" x14ac:dyDescent="0.25">
      <c r="A35" s="111" t="s">
        <v>111</v>
      </c>
      <c r="B35" s="112"/>
      <c r="C35" s="112"/>
      <c r="D35" s="112"/>
      <c r="E35" s="113"/>
      <c r="F35" s="113"/>
      <c r="G35" s="113"/>
      <c r="H35" s="113"/>
      <c r="I35" s="110"/>
      <c r="J35" s="110"/>
      <c r="K35" s="173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173"/>
    </row>
    <row r="37" spans="1:11" x14ac:dyDescent="0.25">
      <c r="A37" s="114"/>
      <c r="B37" s="114"/>
      <c r="C37" s="114"/>
      <c r="D37" s="114"/>
      <c r="E37" s="114"/>
      <c r="F37" s="114"/>
      <c r="G37" s="114"/>
      <c r="H37" s="390" t="s">
        <v>61</v>
      </c>
      <c r="I37" s="390"/>
      <c r="J37" s="390"/>
      <c r="K37" s="390"/>
    </row>
    <row r="38" spans="1:11" x14ac:dyDescent="0.25">
      <c r="A38" s="459" t="s">
        <v>39</v>
      </c>
      <c r="B38" s="459"/>
      <c r="C38" s="459"/>
      <c r="D38" s="459"/>
      <c r="E38" s="459"/>
      <c r="F38" s="459"/>
      <c r="G38" s="459"/>
      <c r="H38" s="437" t="s">
        <v>38</v>
      </c>
      <c r="I38" s="437"/>
      <c r="J38" s="437"/>
      <c r="K38" s="437"/>
    </row>
    <row r="39" spans="1:11" x14ac:dyDescent="0.25">
      <c r="A39" s="460" t="str">
        <f>'ALEJANDRO J'!A41</f>
        <v>SAN CRISTOBAL, JUNIO DE 2026</v>
      </c>
      <c r="B39" s="460"/>
      <c r="C39" s="460"/>
      <c r="D39" s="460"/>
      <c r="E39" s="460"/>
      <c r="F39" s="460"/>
      <c r="G39" s="460"/>
      <c r="H39" s="437"/>
      <c r="I39" s="437"/>
      <c r="J39" s="437"/>
      <c r="K39" s="437"/>
    </row>
    <row r="40" spans="1:11" x14ac:dyDescent="0.25">
      <c r="A40" s="86"/>
      <c r="B40" s="86"/>
      <c r="C40" s="86"/>
      <c r="D40" s="86"/>
      <c r="E40" s="86"/>
      <c r="F40" s="86"/>
      <c r="G40" s="86"/>
      <c r="H40" s="389" t="s">
        <v>61</v>
      </c>
      <c r="I40" s="389"/>
      <c r="J40" s="389"/>
      <c r="K40" s="389"/>
    </row>
    <row r="41" spans="1:11" x14ac:dyDescent="0.25">
      <c r="A41" s="86"/>
      <c r="B41" s="86"/>
      <c r="C41" s="86"/>
      <c r="D41" s="86"/>
      <c r="E41" s="86"/>
      <c r="F41" s="86"/>
      <c r="G41" s="86"/>
      <c r="H41" s="437" t="s">
        <v>40</v>
      </c>
      <c r="I41" s="437"/>
      <c r="J41" s="437"/>
      <c r="K41" s="437"/>
    </row>
    <row r="42" spans="1:11" x14ac:dyDescent="0.25">
      <c r="A42" s="458"/>
      <c r="B42" s="458"/>
      <c r="C42" s="173"/>
      <c r="D42" s="173"/>
      <c r="E42" s="173"/>
      <c r="F42" s="173"/>
      <c r="G42" s="173"/>
      <c r="H42" s="173"/>
      <c r="I42" s="86"/>
      <c r="J42" s="173"/>
    </row>
    <row r="43" spans="1:11" x14ac:dyDescent="0.25">
      <c r="A43" s="458"/>
      <c r="B43" s="458"/>
      <c r="C43" s="173"/>
      <c r="D43" s="173"/>
      <c r="E43" s="173"/>
      <c r="F43" s="173"/>
      <c r="G43" s="173"/>
      <c r="H43" s="390"/>
      <c r="I43" s="390"/>
      <c r="J43" s="390"/>
      <c r="K43" s="390"/>
    </row>
    <row r="44" spans="1:11" x14ac:dyDescent="0.25">
      <c r="A44" s="174"/>
      <c r="B44" s="169"/>
      <c r="C44" s="169"/>
      <c r="D44" s="169"/>
      <c r="E44" s="169"/>
      <c r="F44" s="117"/>
      <c r="G44" s="117"/>
      <c r="H44" s="437"/>
      <c r="I44" s="437"/>
      <c r="J44" s="437"/>
      <c r="K44" s="437"/>
    </row>
    <row r="45" spans="1:11" x14ac:dyDescent="0.25">
      <c r="A45" s="174"/>
      <c r="B45" s="169"/>
      <c r="C45" s="173"/>
      <c r="D45" s="173"/>
      <c r="E45" s="173"/>
      <c r="F45" s="117"/>
      <c r="G45" s="117"/>
      <c r="H45" s="117"/>
      <c r="I45" s="86"/>
      <c r="J45" s="86"/>
      <c r="K45" s="86"/>
    </row>
    <row r="46" spans="1:11" x14ac:dyDescent="0.25">
      <c r="A46" s="117"/>
      <c r="B46" s="169"/>
      <c r="C46" s="115"/>
      <c r="D46" s="115"/>
      <c r="E46" s="115"/>
      <c r="F46" s="115"/>
      <c r="G46" s="115"/>
      <c r="H46" s="115"/>
    </row>
  </sheetData>
  <mergeCells count="48">
    <mergeCell ref="H41:K41"/>
    <mergeCell ref="A42:B43"/>
    <mergeCell ref="H43:K43"/>
    <mergeCell ref="H44:K44"/>
    <mergeCell ref="H37:K37"/>
    <mergeCell ref="A38:G38"/>
    <mergeCell ref="H38:K38"/>
    <mergeCell ref="A39:G39"/>
    <mergeCell ref="H39:K39"/>
    <mergeCell ref="H40:K40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topLeftCell="A10" workbookViewId="0">
      <selection activeCell="I16" sqref="I16"/>
    </sheetView>
  </sheetViews>
  <sheetFormatPr baseColWidth="10" defaultRowHeight="15" x14ac:dyDescent="0.25"/>
  <cols>
    <col min="1" max="1" width="5.5703125" customWidth="1"/>
    <col min="2" max="2" width="6" customWidth="1"/>
    <col min="3" max="3" width="7.28515625" customWidth="1"/>
    <col min="4" max="5" width="5.42578125" customWidth="1"/>
    <col min="6" max="6" width="7.7109375" customWidth="1"/>
    <col min="7" max="7" width="6.85546875" customWidth="1"/>
    <col min="8" max="8" width="12.85546875" customWidth="1"/>
    <col min="9" max="9" width="14.28515625" customWidth="1"/>
    <col min="10" max="10" width="6" customWidth="1"/>
    <col min="11" max="11" width="9.85546875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102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63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06"/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171"/>
      <c r="C10" s="172"/>
      <c r="D10" s="170" t="s">
        <v>6</v>
      </c>
      <c r="E10" s="171"/>
      <c r="F10" s="172"/>
      <c r="G10" s="170" t="s">
        <v>7</v>
      </c>
      <c r="H10" s="172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23</v>
      </c>
      <c r="B12" s="10">
        <v>2</v>
      </c>
      <c r="C12" s="138" t="s">
        <v>96</v>
      </c>
      <c r="D12" s="9">
        <v>24</v>
      </c>
      <c r="E12" s="10">
        <v>2</v>
      </c>
      <c r="F12" s="138" t="s">
        <v>84</v>
      </c>
      <c r="G12" s="12">
        <v>0.25</v>
      </c>
      <c r="H12" s="13">
        <v>60845</v>
      </c>
      <c r="I12" s="14">
        <f t="shared" ref="I12" si="0">H12*G12</f>
        <v>15211.25</v>
      </c>
      <c r="J12" s="448"/>
      <c r="K12" s="44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448"/>
      <c r="K13" s="449"/>
    </row>
    <row r="14" spans="1:11" x14ac:dyDescent="0.25">
      <c r="A14" s="9"/>
      <c r="B14" s="10"/>
      <c r="C14" s="138"/>
      <c r="D14" s="19"/>
      <c r="E14" s="10"/>
      <c r="F14" s="139"/>
      <c r="G14" s="12"/>
      <c r="H14" s="13"/>
      <c r="I14" s="14"/>
      <c r="J14" s="448"/>
      <c r="K14" s="449"/>
    </row>
    <row r="15" spans="1:11" x14ac:dyDescent="0.25">
      <c r="A15" s="9"/>
      <c r="B15" s="10"/>
      <c r="C15" s="138"/>
      <c r="D15" s="19"/>
      <c r="E15" s="10"/>
      <c r="F15" s="138"/>
      <c r="G15" s="12"/>
      <c r="H15" s="13"/>
      <c r="I15" s="14"/>
      <c r="J15" s="448"/>
      <c r="K15" s="449"/>
    </row>
    <row r="16" spans="1:11" x14ac:dyDescent="0.25">
      <c r="A16" s="23"/>
      <c r="B16" s="10"/>
      <c r="C16" s="138"/>
      <c r="D16" s="9"/>
      <c r="E16" s="10"/>
      <c r="F16" s="138"/>
      <c r="G16" s="12"/>
      <c r="H16" s="13"/>
      <c r="I16" s="14"/>
      <c r="J16" s="448"/>
      <c r="K16" s="449"/>
    </row>
    <row r="17" spans="1:11" x14ac:dyDescent="0.25">
      <c r="A17" s="9"/>
      <c r="B17" s="10"/>
      <c r="C17" s="138"/>
      <c r="D17" s="9"/>
      <c r="E17" s="10"/>
      <c r="F17" s="138"/>
      <c r="G17" s="12"/>
      <c r="H17" s="13"/>
      <c r="I17" s="14"/>
      <c r="J17" s="448"/>
      <c r="K17" s="449"/>
    </row>
    <row r="18" spans="1:1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48"/>
      <c r="K18" s="449"/>
    </row>
    <row r="19" spans="1:11" x14ac:dyDescent="0.25">
      <c r="A19" s="9"/>
      <c r="B19" s="10"/>
      <c r="C19" s="138"/>
      <c r="D19" s="19"/>
      <c r="E19" s="10"/>
      <c r="F19" s="138"/>
      <c r="G19" s="12"/>
      <c r="H19" s="13"/>
      <c r="I19" s="14"/>
      <c r="J19" s="448"/>
      <c r="K19" s="449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48"/>
      <c r="K20" s="449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48"/>
      <c r="K21" s="449"/>
    </row>
    <row r="22" spans="1:11" x14ac:dyDescent="0.25">
      <c r="A22" s="9"/>
      <c r="B22" s="10"/>
      <c r="C22" s="138"/>
      <c r="D22" s="1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9"/>
      <c r="E26" s="10"/>
      <c r="F26" s="138"/>
      <c r="G26" s="12"/>
      <c r="H26" s="13"/>
      <c r="I26" s="14"/>
      <c r="J26" s="448"/>
      <c r="K26" s="449"/>
    </row>
    <row r="27" spans="1:11" x14ac:dyDescent="0.25">
      <c r="A27" s="25"/>
      <c r="B27" s="25"/>
      <c r="C27" s="26"/>
      <c r="D27" s="25"/>
      <c r="E27" s="25"/>
      <c r="F27" s="26"/>
      <c r="G27" s="27"/>
      <c r="H27" s="13"/>
      <c r="I27" s="14"/>
      <c r="J27" s="448"/>
      <c r="K27" s="449"/>
    </row>
    <row r="28" spans="1:11" x14ac:dyDescent="0.25">
      <c r="A28" s="25"/>
      <c r="B28" s="25"/>
      <c r="C28" s="26"/>
      <c r="D28" s="25"/>
      <c r="E28" s="25"/>
      <c r="F28" s="26"/>
      <c r="G28" s="27"/>
      <c r="H28" s="13"/>
      <c r="I28" s="14"/>
      <c r="J28" s="448"/>
      <c r="K28" s="449"/>
    </row>
    <row r="29" spans="1:11" x14ac:dyDescent="0.25">
      <c r="A29" s="29"/>
      <c r="B29" s="29"/>
      <c r="C29" s="30"/>
      <c r="D29" s="29"/>
      <c r="E29" s="29"/>
      <c r="F29" s="30"/>
      <c r="G29" s="12"/>
      <c r="H29" s="13"/>
      <c r="I29" s="1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105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105"/>
      <c r="J32" s="448"/>
      <c r="K32" s="449"/>
    </row>
    <row r="33" spans="1:11" x14ac:dyDescent="0.25">
      <c r="A33" s="456"/>
      <c r="B33" s="456"/>
      <c r="C33" s="456"/>
      <c r="D33" s="456"/>
      <c r="E33" s="173"/>
      <c r="F33" s="173"/>
      <c r="G33" s="173"/>
      <c r="H33" s="108" t="s">
        <v>47</v>
      </c>
      <c r="I33" s="109">
        <f>SUM(I12:I32)</f>
        <v>15211.25</v>
      </c>
      <c r="J33" s="457"/>
      <c r="K33" s="457"/>
    </row>
    <row r="34" spans="1:11" x14ac:dyDescent="0.25">
      <c r="A34" s="456"/>
      <c r="B34" s="456"/>
      <c r="C34" s="456"/>
      <c r="D34" s="456"/>
      <c r="E34" s="173"/>
      <c r="F34" s="173"/>
      <c r="G34" s="173"/>
      <c r="H34" s="173"/>
      <c r="I34" s="110"/>
      <c r="J34" s="110"/>
      <c r="K34" s="110"/>
    </row>
    <row r="35" spans="1:11" x14ac:dyDescent="0.25">
      <c r="A35" s="111" t="s">
        <v>110</v>
      </c>
      <c r="B35" s="112"/>
      <c r="C35" s="112"/>
      <c r="D35" s="112"/>
      <c r="E35" s="113"/>
      <c r="F35" s="113"/>
      <c r="G35" s="113"/>
      <c r="H35" s="113"/>
      <c r="I35" s="110"/>
      <c r="J35" s="110"/>
      <c r="K35" s="173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173"/>
    </row>
    <row r="37" spans="1:11" x14ac:dyDescent="0.25">
      <c r="A37" s="114"/>
      <c r="B37" s="114"/>
      <c r="C37" s="114"/>
      <c r="D37" s="114"/>
      <c r="E37" s="114"/>
      <c r="F37" s="114"/>
      <c r="G37" s="114"/>
      <c r="H37" s="390" t="s">
        <v>61</v>
      </c>
      <c r="I37" s="390"/>
      <c r="J37" s="390"/>
      <c r="K37" s="390"/>
    </row>
    <row r="38" spans="1:11" x14ac:dyDescent="0.25">
      <c r="A38" s="459" t="s">
        <v>39</v>
      </c>
      <c r="B38" s="459"/>
      <c r="C38" s="459"/>
      <c r="D38" s="459"/>
      <c r="E38" s="459"/>
      <c r="F38" s="459"/>
      <c r="G38" s="459"/>
      <c r="H38" s="437" t="s">
        <v>38</v>
      </c>
      <c r="I38" s="437"/>
      <c r="J38" s="437"/>
      <c r="K38" s="437"/>
    </row>
    <row r="39" spans="1:11" x14ac:dyDescent="0.25">
      <c r="A39" s="460" t="str">
        <f>'ALEJANDRO J'!A41</f>
        <v>SAN CRISTOBAL, JUNIO DE 2026</v>
      </c>
      <c r="B39" s="460"/>
      <c r="C39" s="460"/>
      <c r="D39" s="460"/>
      <c r="E39" s="460"/>
      <c r="F39" s="460"/>
      <c r="G39" s="460"/>
      <c r="H39" s="437"/>
      <c r="I39" s="437"/>
      <c r="J39" s="437"/>
      <c r="K39" s="437"/>
    </row>
    <row r="40" spans="1:11" x14ac:dyDescent="0.25">
      <c r="A40" s="86"/>
      <c r="B40" s="86"/>
      <c r="C40" s="86"/>
      <c r="D40" s="86"/>
      <c r="E40" s="86"/>
      <c r="F40" s="86"/>
      <c r="G40" s="86"/>
      <c r="H40" s="389" t="s">
        <v>61</v>
      </c>
      <c r="I40" s="389"/>
      <c r="J40" s="389"/>
      <c r="K40" s="389"/>
    </row>
    <row r="41" spans="1:11" x14ac:dyDescent="0.25">
      <c r="A41" s="86"/>
      <c r="B41" s="86"/>
      <c r="C41" s="86"/>
      <c r="D41" s="86"/>
      <c r="E41" s="86"/>
      <c r="F41" s="86"/>
      <c r="G41" s="86"/>
      <c r="H41" s="437" t="s">
        <v>40</v>
      </c>
      <c r="I41" s="437"/>
      <c r="J41" s="437"/>
      <c r="K41" s="437"/>
    </row>
    <row r="42" spans="1:11" x14ac:dyDescent="0.25">
      <c r="A42" s="458"/>
      <c r="B42" s="458"/>
      <c r="C42" s="173"/>
      <c r="D42" s="173"/>
      <c r="E42" s="173"/>
      <c r="F42" s="173"/>
      <c r="G42" s="173"/>
      <c r="H42" s="173"/>
      <c r="I42" s="86"/>
      <c r="J42" s="173"/>
    </row>
    <row r="43" spans="1:11" x14ac:dyDescent="0.25">
      <c r="A43" s="458"/>
      <c r="B43" s="458"/>
      <c r="C43" s="173"/>
      <c r="D43" s="173"/>
      <c r="E43" s="173"/>
      <c r="F43" s="173"/>
      <c r="G43" s="173"/>
      <c r="H43" s="390"/>
      <c r="I43" s="390"/>
      <c r="J43" s="390"/>
      <c r="K43" s="390"/>
    </row>
    <row r="44" spans="1:11" x14ac:dyDescent="0.25">
      <c r="A44" s="174"/>
      <c r="B44" s="169"/>
      <c r="C44" s="169"/>
      <c r="D44" s="169"/>
      <c r="E44" s="169"/>
      <c r="F44" s="117"/>
      <c r="G44" s="117"/>
      <c r="H44" s="437"/>
      <c r="I44" s="437"/>
      <c r="J44" s="437"/>
      <c r="K44" s="437"/>
    </row>
    <row r="45" spans="1:11" x14ac:dyDescent="0.25">
      <c r="A45" s="174"/>
      <c r="B45" s="169"/>
      <c r="C45" s="173"/>
      <c r="D45" s="173"/>
      <c r="E45" s="173"/>
      <c r="F45" s="117"/>
      <c r="G45" s="117"/>
      <c r="H45" s="117"/>
      <c r="I45" s="86"/>
      <c r="J45" s="86"/>
      <c r="K45" s="86"/>
    </row>
    <row r="46" spans="1:11" x14ac:dyDescent="0.25">
      <c r="A46" s="117"/>
      <c r="B46" s="169"/>
      <c r="C46" s="115"/>
      <c r="D46" s="115"/>
      <c r="E46" s="115"/>
      <c r="F46" s="115"/>
      <c r="G46" s="115"/>
      <c r="H46" s="115"/>
    </row>
  </sheetData>
  <mergeCells count="48">
    <mergeCell ref="H41:K41"/>
    <mergeCell ref="A42:B43"/>
    <mergeCell ref="H43:K43"/>
    <mergeCell ref="H44:K44"/>
    <mergeCell ref="H37:K37"/>
    <mergeCell ref="A38:G38"/>
    <mergeCell ref="H38:K38"/>
    <mergeCell ref="A39:G39"/>
    <mergeCell ref="H39:K39"/>
    <mergeCell ref="H40:K40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4"/>
  <sheetViews>
    <sheetView workbookViewId="0">
      <selection activeCell="A38" sqref="A38"/>
    </sheetView>
  </sheetViews>
  <sheetFormatPr baseColWidth="10" defaultRowHeight="15" x14ac:dyDescent="0.25"/>
  <cols>
    <col min="1" max="1" width="5.5703125" customWidth="1"/>
    <col min="2" max="2" width="6" customWidth="1"/>
    <col min="3" max="3" width="7.28515625" customWidth="1"/>
    <col min="4" max="5" width="5.42578125" customWidth="1"/>
    <col min="6" max="6" width="7.7109375" customWidth="1"/>
    <col min="7" max="7" width="6.85546875" customWidth="1"/>
    <col min="8" max="8" width="12.85546875" customWidth="1"/>
    <col min="9" max="9" width="14.28515625" customWidth="1"/>
    <col min="10" max="10" width="6" customWidth="1"/>
    <col min="11" max="11" width="9.85546875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131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46054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191"/>
      <c r="C10" s="192"/>
      <c r="D10" s="190" t="s">
        <v>6</v>
      </c>
      <c r="E10" s="191"/>
      <c r="F10" s="192"/>
      <c r="G10" s="190" t="s">
        <v>7</v>
      </c>
      <c r="H10" s="192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23</v>
      </c>
      <c r="B12" s="10">
        <v>2</v>
      </c>
      <c r="C12" s="138" t="s">
        <v>207</v>
      </c>
      <c r="D12" s="19">
        <v>23</v>
      </c>
      <c r="E12" s="10">
        <v>2</v>
      </c>
      <c r="F12" s="138" t="s">
        <v>224</v>
      </c>
      <c r="G12" s="12">
        <v>0.5</v>
      </c>
      <c r="H12" s="272">
        <v>72808</v>
      </c>
      <c r="I12" s="14">
        <f t="shared" ref="I12" si="0">H12*G12</f>
        <v>36404</v>
      </c>
      <c r="J12" s="448"/>
      <c r="K12" s="449"/>
    </row>
    <row r="13" spans="1:11" x14ac:dyDescent="0.25">
      <c r="A13" s="9"/>
      <c r="B13" s="10"/>
      <c r="C13" s="138"/>
      <c r="D13" s="19"/>
      <c r="E13" s="10"/>
      <c r="F13" s="138"/>
      <c r="G13" s="12"/>
      <c r="H13" s="272"/>
      <c r="I13" s="14"/>
      <c r="J13" s="461"/>
      <c r="K13" s="462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448"/>
      <c r="K14" s="449"/>
    </row>
    <row r="15" spans="1:11" x14ac:dyDescent="0.25">
      <c r="A15" s="9"/>
      <c r="B15" s="10"/>
      <c r="C15" s="138"/>
      <c r="D15" s="19"/>
      <c r="E15" s="10"/>
      <c r="F15" s="138"/>
      <c r="G15" s="12"/>
      <c r="H15" s="13"/>
      <c r="I15" s="14"/>
      <c r="J15" s="448"/>
      <c r="K15" s="449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448"/>
      <c r="K16" s="449"/>
    </row>
    <row r="17" spans="1:11" x14ac:dyDescent="0.25">
      <c r="A17" s="9"/>
      <c r="B17" s="10"/>
      <c r="C17" s="138"/>
      <c r="D17" s="19"/>
      <c r="E17" s="10"/>
      <c r="F17" s="138"/>
      <c r="G17" s="12"/>
      <c r="H17" s="13"/>
      <c r="I17" s="14"/>
      <c r="J17" s="448"/>
      <c r="K17" s="449"/>
    </row>
    <row r="18" spans="1:11" x14ac:dyDescent="0.25">
      <c r="A18" s="9"/>
      <c r="B18" s="10"/>
      <c r="C18" s="138"/>
      <c r="D18" s="19"/>
      <c r="E18" s="10"/>
      <c r="F18" s="139"/>
      <c r="G18" s="12"/>
      <c r="H18" s="13"/>
      <c r="I18" s="14"/>
      <c r="J18" s="448"/>
      <c r="K18" s="449"/>
    </row>
    <row r="19" spans="1:11" x14ac:dyDescent="0.25">
      <c r="A19" s="9"/>
      <c r="B19" s="10"/>
      <c r="C19" s="138"/>
      <c r="D19" s="19"/>
      <c r="E19" s="10"/>
      <c r="F19" s="138"/>
      <c r="G19" s="12"/>
      <c r="H19" s="13"/>
      <c r="I19" s="14"/>
      <c r="J19" s="448"/>
      <c r="K19" s="449"/>
    </row>
    <row r="20" spans="1:11" x14ac:dyDescent="0.25">
      <c r="A20" s="9"/>
      <c r="B20" s="10"/>
      <c r="C20" s="138"/>
      <c r="D20" s="9"/>
      <c r="E20" s="10"/>
      <c r="F20" s="138"/>
      <c r="G20" s="12"/>
      <c r="H20" s="13"/>
      <c r="I20" s="14"/>
      <c r="J20" s="448"/>
      <c r="K20" s="449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48"/>
      <c r="K21" s="449"/>
    </row>
    <row r="22" spans="1:11" x14ac:dyDescent="0.25">
      <c r="A22" s="9"/>
      <c r="B22" s="10"/>
      <c r="C22" s="138"/>
      <c r="D22" s="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9"/>
      <c r="E26" s="10"/>
      <c r="F26" s="138"/>
      <c r="G26" s="12"/>
      <c r="H26" s="13"/>
      <c r="I26" s="14"/>
      <c r="J26" s="448"/>
      <c r="K26" s="449"/>
    </row>
    <row r="27" spans="1:11" x14ac:dyDescent="0.25">
      <c r="A27" s="25"/>
      <c r="B27" s="25"/>
      <c r="C27" s="26"/>
      <c r="D27" s="25"/>
      <c r="E27" s="25"/>
      <c r="F27" s="26"/>
      <c r="G27" s="27"/>
      <c r="H27" s="13"/>
      <c r="I27" s="14"/>
      <c r="J27" s="448"/>
      <c r="K27" s="449"/>
    </row>
    <row r="28" spans="1:11" x14ac:dyDescent="0.25">
      <c r="A28" s="25"/>
      <c r="B28" s="25"/>
      <c r="C28" s="26"/>
      <c r="D28" s="25"/>
      <c r="E28" s="25"/>
      <c r="F28" s="26"/>
      <c r="G28" s="27"/>
      <c r="H28" s="13"/>
      <c r="I28" s="14"/>
      <c r="J28" s="448"/>
      <c r="K28" s="449"/>
    </row>
    <row r="29" spans="1:11" x14ac:dyDescent="0.25">
      <c r="A29" s="104"/>
      <c r="B29" s="104"/>
      <c r="C29" s="104"/>
      <c r="D29" s="104"/>
      <c r="E29" s="104"/>
      <c r="F29" s="104"/>
      <c r="G29" s="104"/>
      <c r="H29" s="104"/>
      <c r="I29" s="198"/>
      <c r="J29" s="448"/>
      <c r="K29" s="449"/>
    </row>
    <row r="30" spans="1:11" x14ac:dyDescent="0.25">
      <c r="A30" s="106"/>
      <c r="B30" s="106"/>
      <c r="C30" s="106"/>
      <c r="D30" s="106"/>
      <c r="E30" s="106"/>
      <c r="F30" s="106"/>
      <c r="G30" s="106"/>
      <c r="H30" s="107"/>
      <c r="I30" s="198"/>
      <c r="J30" s="448"/>
      <c r="K30" s="449"/>
    </row>
    <row r="31" spans="1:11" x14ac:dyDescent="0.25">
      <c r="A31" s="456"/>
      <c r="B31" s="456"/>
      <c r="C31" s="456"/>
      <c r="D31" s="456"/>
      <c r="E31" s="193"/>
      <c r="F31" s="193"/>
      <c r="G31" s="193"/>
      <c r="H31" s="108" t="s">
        <v>47</v>
      </c>
      <c r="I31" s="109">
        <f>SUM(I12:I30)</f>
        <v>36404</v>
      </c>
      <c r="J31" s="457"/>
      <c r="K31" s="457"/>
    </row>
    <row r="32" spans="1:11" x14ac:dyDescent="0.25">
      <c r="A32" s="456"/>
      <c r="B32" s="456"/>
      <c r="C32" s="456"/>
      <c r="D32" s="456"/>
      <c r="E32" s="193"/>
      <c r="F32" s="193"/>
      <c r="G32" s="193"/>
      <c r="H32" s="193"/>
      <c r="I32" s="110"/>
      <c r="J32" s="110"/>
      <c r="K32" s="110"/>
    </row>
    <row r="33" spans="1:11" x14ac:dyDescent="0.25">
      <c r="A33" s="111" t="s">
        <v>225</v>
      </c>
      <c r="B33" s="112"/>
      <c r="C33" s="112"/>
      <c r="D33" s="112"/>
      <c r="E33" s="113"/>
      <c r="F33" s="113"/>
      <c r="G33" s="113"/>
      <c r="H33" s="113"/>
      <c r="I33" s="110"/>
      <c r="J33" s="110"/>
      <c r="K33" s="193"/>
    </row>
    <row r="34" spans="1:11" x14ac:dyDescent="0.25">
      <c r="A34" s="114"/>
      <c r="B34" s="114"/>
      <c r="C34" s="114"/>
      <c r="D34" s="114"/>
      <c r="E34" s="114"/>
      <c r="F34" s="114"/>
      <c r="G34" s="114"/>
      <c r="H34" s="114"/>
      <c r="I34" s="115"/>
      <c r="J34" s="110"/>
      <c r="K34" s="193"/>
    </row>
    <row r="35" spans="1:11" x14ac:dyDescent="0.25">
      <c r="A35" s="114"/>
      <c r="B35" s="114"/>
      <c r="C35" s="114"/>
      <c r="D35" s="114"/>
      <c r="E35" s="114"/>
      <c r="F35" s="114"/>
      <c r="G35" s="114"/>
      <c r="H35" s="390" t="s">
        <v>61</v>
      </c>
      <c r="I35" s="390"/>
      <c r="J35" s="390"/>
      <c r="K35" s="390"/>
    </row>
    <row r="36" spans="1:11" x14ac:dyDescent="0.25">
      <c r="A36" s="459" t="s">
        <v>39</v>
      </c>
      <c r="B36" s="459"/>
      <c r="C36" s="459"/>
      <c r="D36" s="459"/>
      <c r="E36" s="459"/>
      <c r="F36" s="459"/>
      <c r="G36" s="459"/>
      <c r="H36" s="437" t="s">
        <v>38</v>
      </c>
      <c r="I36" s="437"/>
      <c r="J36" s="437"/>
      <c r="K36" s="437"/>
    </row>
    <row r="37" spans="1:11" x14ac:dyDescent="0.25">
      <c r="A37" s="460" t="s">
        <v>219</v>
      </c>
      <c r="B37" s="460"/>
      <c r="C37" s="460"/>
      <c r="D37" s="460"/>
      <c r="E37" s="460"/>
      <c r="F37" s="460"/>
      <c r="G37" s="460"/>
      <c r="H37" s="437"/>
      <c r="I37" s="437"/>
      <c r="J37" s="437"/>
      <c r="K37" s="437"/>
    </row>
    <row r="38" spans="1:11" x14ac:dyDescent="0.25">
      <c r="A38" s="86"/>
      <c r="B38" s="86"/>
      <c r="C38" s="86"/>
      <c r="D38" s="86"/>
      <c r="E38" s="86"/>
      <c r="F38" s="86"/>
      <c r="G38" s="86"/>
      <c r="H38" s="389" t="s">
        <v>61</v>
      </c>
      <c r="I38" s="389"/>
      <c r="J38" s="389"/>
      <c r="K38" s="389"/>
    </row>
    <row r="39" spans="1:11" x14ac:dyDescent="0.25">
      <c r="A39" s="86"/>
      <c r="B39" s="86"/>
      <c r="C39" s="86"/>
      <c r="D39" s="86"/>
      <c r="E39" s="86"/>
      <c r="F39" s="86"/>
      <c r="G39" s="86"/>
      <c r="H39" s="437" t="s">
        <v>40</v>
      </c>
      <c r="I39" s="437"/>
      <c r="J39" s="437"/>
      <c r="K39" s="437"/>
    </row>
    <row r="40" spans="1:11" x14ac:dyDescent="0.25">
      <c r="A40" s="458"/>
      <c r="B40" s="458"/>
      <c r="C40" s="193"/>
      <c r="D40" s="193"/>
      <c r="E40" s="193"/>
      <c r="F40" s="193"/>
      <c r="G40" s="193"/>
      <c r="H40" s="193"/>
      <c r="I40" s="86"/>
      <c r="J40" s="193"/>
    </row>
    <row r="41" spans="1:11" x14ac:dyDescent="0.25">
      <c r="A41" s="458"/>
      <c r="B41" s="458"/>
      <c r="C41" s="193"/>
      <c r="D41" s="193"/>
      <c r="E41" s="193"/>
      <c r="F41" s="193"/>
      <c r="G41" s="193"/>
      <c r="H41" s="390"/>
      <c r="I41" s="390"/>
      <c r="J41" s="390"/>
      <c r="K41" s="390"/>
    </row>
    <row r="42" spans="1:11" x14ac:dyDescent="0.25">
      <c r="A42" s="197"/>
      <c r="B42" s="194"/>
      <c r="C42" s="194"/>
      <c r="D42" s="194"/>
      <c r="E42" s="194"/>
      <c r="F42" s="117"/>
      <c r="G42" s="117"/>
      <c r="H42" s="437"/>
      <c r="I42" s="437"/>
      <c r="J42" s="437"/>
      <c r="K42" s="437"/>
    </row>
    <row r="43" spans="1:11" x14ac:dyDescent="0.25">
      <c r="A43" s="197"/>
      <c r="B43" s="194"/>
      <c r="C43" s="193"/>
      <c r="D43" s="193"/>
      <c r="E43" s="193"/>
      <c r="F43" s="117"/>
      <c r="G43" s="117"/>
      <c r="H43" s="117"/>
      <c r="I43" s="86"/>
      <c r="J43" s="86"/>
      <c r="K43" s="86"/>
    </row>
    <row r="44" spans="1:11" x14ac:dyDescent="0.25">
      <c r="A44" s="117"/>
      <c r="B44" s="194"/>
      <c r="C44" s="115"/>
      <c r="D44" s="115"/>
      <c r="E44" s="115"/>
      <c r="F44" s="115"/>
      <c r="G44" s="115"/>
      <c r="H44" s="115"/>
    </row>
  </sheetData>
  <mergeCells count="46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2:B32"/>
    <mergeCell ref="C32:D32"/>
    <mergeCell ref="J25:K25"/>
    <mergeCell ref="J26:K26"/>
    <mergeCell ref="J27:K27"/>
    <mergeCell ref="J28:K28"/>
    <mergeCell ref="J29:K29"/>
    <mergeCell ref="J30:K30"/>
    <mergeCell ref="A31:B31"/>
    <mergeCell ref="C31:D31"/>
    <mergeCell ref="J31:K31"/>
    <mergeCell ref="H39:K39"/>
    <mergeCell ref="A40:B41"/>
    <mergeCell ref="H41:K41"/>
    <mergeCell ref="H42:K42"/>
    <mergeCell ref="H35:K35"/>
    <mergeCell ref="A36:G36"/>
    <mergeCell ref="H36:K36"/>
    <mergeCell ref="A37:G37"/>
    <mergeCell ref="H37:K37"/>
    <mergeCell ref="H38:K38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4"/>
  <sheetViews>
    <sheetView topLeftCell="A2" workbookViewId="0">
      <selection activeCell="B33" sqref="A33:XFD33"/>
    </sheetView>
  </sheetViews>
  <sheetFormatPr baseColWidth="10" defaultRowHeight="15" x14ac:dyDescent="0.25"/>
  <cols>
    <col min="1" max="1" width="5.5703125" customWidth="1"/>
    <col min="2" max="2" width="6" customWidth="1"/>
    <col min="3" max="3" width="7.28515625" customWidth="1"/>
    <col min="4" max="5" width="5.42578125" customWidth="1"/>
    <col min="6" max="6" width="7.7109375" customWidth="1"/>
    <col min="7" max="7" width="6.85546875" customWidth="1"/>
    <col min="8" max="8" width="12.85546875" customWidth="1"/>
    <col min="9" max="9" width="14.28515625" customWidth="1"/>
    <col min="10" max="10" width="6" customWidth="1"/>
    <col min="11" max="11" width="9.85546875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104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115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171"/>
      <c r="C10" s="172"/>
      <c r="D10" s="170" t="s">
        <v>6</v>
      </c>
      <c r="E10" s="171"/>
      <c r="F10" s="172"/>
      <c r="G10" s="170" t="s">
        <v>7</v>
      </c>
      <c r="H10" s="172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229">
        <v>2</v>
      </c>
      <c r="B12" s="10">
        <v>6</v>
      </c>
      <c r="C12" s="229">
        <v>8</v>
      </c>
      <c r="D12" s="19">
        <v>3</v>
      </c>
      <c r="E12" s="10">
        <v>5</v>
      </c>
      <c r="F12" s="139" t="s">
        <v>312</v>
      </c>
      <c r="G12" s="12">
        <v>0.5</v>
      </c>
      <c r="H12" s="272">
        <v>84366</v>
      </c>
      <c r="I12" s="14">
        <v>42183</v>
      </c>
      <c r="J12" s="448"/>
      <c r="K12" s="449"/>
    </row>
    <row r="13" spans="1:11" x14ac:dyDescent="0.25">
      <c r="A13" s="9">
        <v>4</v>
      </c>
      <c r="B13" s="10">
        <v>6</v>
      </c>
      <c r="C13" s="138" t="s">
        <v>325</v>
      </c>
      <c r="D13" s="9">
        <v>4</v>
      </c>
      <c r="E13" s="10">
        <v>6</v>
      </c>
      <c r="F13" s="138" t="s">
        <v>230</v>
      </c>
      <c r="G13" s="12">
        <v>0.5</v>
      </c>
      <c r="H13" s="272">
        <v>84366</v>
      </c>
      <c r="I13" s="14">
        <v>42183</v>
      </c>
      <c r="J13" s="461"/>
      <c r="K13" s="462"/>
    </row>
    <row r="14" spans="1:11" x14ac:dyDescent="0.25">
      <c r="A14" s="9">
        <v>5</v>
      </c>
      <c r="B14" s="10">
        <v>6</v>
      </c>
      <c r="C14" s="138" t="s">
        <v>320</v>
      </c>
      <c r="D14" s="19">
        <v>5</v>
      </c>
      <c r="E14" s="10">
        <v>6</v>
      </c>
      <c r="F14" s="138" t="s">
        <v>213</v>
      </c>
      <c r="G14" s="12">
        <v>0.5</v>
      </c>
      <c r="H14" s="272">
        <v>84366</v>
      </c>
      <c r="I14" s="14">
        <v>42183</v>
      </c>
      <c r="J14" s="448"/>
      <c r="K14" s="449"/>
    </row>
    <row r="15" spans="1:11" x14ac:dyDescent="0.25">
      <c r="A15" s="9">
        <v>5</v>
      </c>
      <c r="B15" s="10">
        <v>6</v>
      </c>
      <c r="C15" s="138" t="s">
        <v>288</v>
      </c>
      <c r="D15" s="19">
        <v>6</v>
      </c>
      <c r="E15" s="10">
        <v>6</v>
      </c>
      <c r="F15" s="138" t="s">
        <v>328</v>
      </c>
      <c r="G15" s="12">
        <v>0.5</v>
      </c>
      <c r="H15" s="272">
        <v>84366</v>
      </c>
      <c r="I15" s="14">
        <v>42183</v>
      </c>
      <c r="J15" s="448"/>
      <c r="K15" s="449"/>
    </row>
    <row r="16" spans="1:11" x14ac:dyDescent="0.25">
      <c r="A16" s="9">
        <v>6</v>
      </c>
      <c r="B16" s="10">
        <v>6</v>
      </c>
      <c r="C16" s="138" t="s">
        <v>332</v>
      </c>
      <c r="D16" s="19">
        <v>6</v>
      </c>
      <c r="E16" s="10">
        <v>6</v>
      </c>
      <c r="F16" s="139" t="s">
        <v>244</v>
      </c>
      <c r="G16" s="12">
        <v>0.5</v>
      </c>
      <c r="H16" s="272">
        <v>84366</v>
      </c>
      <c r="I16" s="14">
        <v>42183</v>
      </c>
      <c r="J16" s="448"/>
      <c r="K16" s="449"/>
    </row>
    <row r="17" spans="1:11" x14ac:dyDescent="0.25">
      <c r="A17" s="9">
        <v>7</v>
      </c>
      <c r="B17" s="10">
        <v>6</v>
      </c>
      <c r="C17" s="138" t="s">
        <v>312</v>
      </c>
      <c r="D17" s="19">
        <v>7</v>
      </c>
      <c r="E17" s="10">
        <v>6</v>
      </c>
      <c r="F17" s="139" t="s">
        <v>210</v>
      </c>
      <c r="G17" s="12">
        <v>0.5</v>
      </c>
      <c r="H17" s="272">
        <v>84366</v>
      </c>
      <c r="I17" s="14">
        <v>42183</v>
      </c>
      <c r="J17" s="448"/>
      <c r="K17" s="449"/>
    </row>
    <row r="18" spans="1:11" x14ac:dyDescent="0.25">
      <c r="A18" s="9">
        <v>8</v>
      </c>
      <c r="B18" s="10">
        <v>6</v>
      </c>
      <c r="C18" s="138" t="s">
        <v>325</v>
      </c>
      <c r="D18" s="19">
        <v>8</v>
      </c>
      <c r="E18" s="10">
        <v>6</v>
      </c>
      <c r="F18" s="138" t="s">
        <v>230</v>
      </c>
      <c r="G18" s="12">
        <v>0.5</v>
      </c>
      <c r="H18" s="272">
        <v>84366</v>
      </c>
      <c r="I18" s="14">
        <v>42183</v>
      </c>
      <c r="J18" s="448"/>
      <c r="K18" s="449"/>
    </row>
    <row r="19" spans="1:11" x14ac:dyDescent="0.25">
      <c r="A19" s="244">
        <v>11</v>
      </c>
      <c r="B19" s="10">
        <v>6</v>
      </c>
      <c r="C19" s="138" t="s">
        <v>213</v>
      </c>
      <c r="D19" s="246">
        <v>11</v>
      </c>
      <c r="E19" s="10">
        <v>6</v>
      </c>
      <c r="F19" s="138" t="s">
        <v>344</v>
      </c>
      <c r="G19" s="247">
        <v>0.5</v>
      </c>
      <c r="H19" s="272">
        <v>84366</v>
      </c>
      <c r="I19" s="14">
        <v>42183</v>
      </c>
      <c r="J19" s="448"/>
      <c r="K19" s="449"/>
    </row>
    <row r="20" spans="1:11" x14ac:dyDescent="0.25">
      <c r="A20" s="9">
        <v>16</v>
      </c>
      <c r="B20" s="10">
        <v>6</v>
      </c>
      <c r="C20" s="138" t="s">
        <v>351</v>
      </c>
      <c r="D20" s="19">
        <v>16</v>
      </c>
      <c r="E20" s="10">
        <v>6</v>
      </c>
      <c r="F20" s="138" t="s">
        <v>352</v>
      </c>
      <c r="G20" s="12">
        <v>0.5</v>
      </c>
      <c r="H20" s="272">
        <v>84366</v>
      </c>
      <c r="I20" s="14">
        <v>42183</v>
      </c>
      <c r="J20" s="448"/>
      <c r="K20" s="449"/>
    </row>
    <row r="21" spans="1:11" x14ac:dyDescent="0.25">
      <c r="A21" s="9">
        <v>17</v>
      </c>
      <c r="B21" s="10">
        <v>6</v>
      </c>
      <c r="C21" s="138" t="s">
        <v>188</v>
      </c>
      <c r="D21" s="9">
        <v>17</v>
      </c>
      <c r="E21" s="10">
        <v>6</v>
      </c>
      <c r="F21" s="138" t="s">
        <v>354</v>
      </c>
      <c r="G21" s="12">
        <v>0.5</v>
      </c>
      <c r="H21" s="272">
        <v>84366</v>
      </c>
      <c r="I21" s="14">
        <v>42183</v>
      </c>
      <c r="J21" s="448"/>
      <c r="K21" s="449"/>
    </row>
    <row r="22" spans="1:11" x14ac:dyDescent="0.25">
      <c r="A22" s="9">
        <v>18</v>
      </c>
      <c r="B22" s="10">
        <v>6</v>
      </c>
      <c r="C22" s="138" t="s">
        <v>312</v>
      </c>
      <c r="D22" s="9">
        <v>18</v>
      </c>
      <c r="E22" s="10">
        <v>6</v>
      </c>
      <c r="F22" s="138" t="s">
        <v>358</v>
      </c>
      <c r="G22" s="12">
        <v>0.5</v>
      </c>
      <c r="H22" s="272">
        <v>84366</v>
      </c>
      <c r="I22" s="14">
        <v>42183</v>
      </c>
      <c r="J22" s="448"/>
      <c r="K22" s="449"/>
    </row>
    <row r="23" spans="1:11" x14ac:dyDescent="0.25">
      <c r="A23" s="9">
        <v>20</v>
      </c>
      <c r="B23" s="10">
        <v>6</v>
      </c>
      <c r="C23" s="138" t="s">
        <v>224</v>
      </c>
      <c r="D23" s="19">
        <v>21</v>
      </c>
      <c r="E23" s="10">
        <v>6</v>
      </c>
      <c r="F23" s="138" t="s">
        <v>188</v>
      </c>
      <c r="G23" s="12">
        <v>0.5</v>
      </c>
      <c r="H23" s="272">
        <v>84366</v>
      </c>
      <c r="I23" s="14">
        <v>42183</v>
      </c>
      <c r="J23" s="448"/>
      <c r="K23" s="449"/>
    </row>
    <row r="24" spans="1:11" x14ac:dyDescent="0.25">
      <c r="A24" s="23">
        <v>21</v>
      </c>
      <c r="B24" s="10">
        <v>6</v>
      </c>
      <c r="C24" s="138" t="s">
        <v>368</v>
      </c>
      <c r="D24" s="19">
        <v>21</v>
      </c>
      <c r="E24" s="10">
        <v>6</v>
      </c>
      <c r="F24" s="138" t="s">
        <v>276</v>
      </c>
      <c r="G24" s="12">
        <v>0.5</v>
      </c>
      <c r="H24" s="272">
        <v>84366</v>
      </c>
      <c r="I24" s="14">
        <v>42183</v>
      </c>
      <c r="J24" s="448"/>
      <c r="K24" s="449"/>
    </row>
    <row r="25" spans="1:11" x14ac:dyDescent="0.25">
      <c r="A25" s="9">
        <v>22</v>
      </c>
      <c r="B25" s="10">
        <v>6</v>
      </c>
      <c r="C25" s="138" t="s">
        <v>350</v>
      </c>
      <c r="D25" s="19">
        <v>22</v>
      </c>
      <c r="E25" s="10">
        <v>6</v>
      </c>
      <c r="F25" s="138" t="s">
        <v>269</v>
      </c>
      <c r="G25" s="12">
        <v>0.5</v>
      </c>
      <c r="H25" s="272">
        <v>84366</v>
      </c>
      <c r="I25" s="14">
        <v>42183</v>
      </c>
      <c r="J25" s="448"/>
      <c r="K25" s="449"/>
    </row>
    <row r="26" spans="1:11" x14ac:dyDescent="0.25">
      <c r="A26" s="9">
        <v>24</v>
      </c>
      <c r="B26" s="10">
        <v>6</v>
      </c>
      <c r="C26" s="138" t="s">
        <v>279</v>
      </c>
      <c r="D26" s="19">
        <v>25</v>
      </c>
      <c r="E26" s="10">
        <v>6</v>
      </c>
      <c r="F26" s="138" t="s">
        <v>374</v>
      </c>
      <c r="G26" s="12">
        <v>0.5</v>
      </c>
      <c r="H26" s="272">
        <v>84366</v>
      </c>
      <c r="I26" s="14">
        <v>42183</v>
      </c>
      <c r="J26" s="448"/>
      <c r="K26" s="449"/>
    </row>
    <row r="27" spans="1:11" x14ac:dyDescent="0.25">
      <c r="A27" s="9">
        <v>24</v>
      </c>
      <c r="B27" s="10">
        <v>6</v>
      </c>
      <c r="C27" s="138" t="s">
        <v>187</v>
      </c>
      <c r="D27" s="9">
        <v>24</v>
      </c>
      <c r="E27" s="10">
        <v>6</v>
      </c>
      <c r="F27" s="138" t="s">
        <v>204</v>
      </c>
      <c r="G27" s="12">
        <v>0.5</v>
      </c>
      <c r="H27" s="272">
        <v>84366</v>
      </c>
      <c r="I27" s="14">
        <v>42183</v>
      </c>
      <c r="J27" s="448"/>
      <c r="K27" s="449"/>
    </row>
    <row r="28" spans="1:11" x14ac:dyDescent="0.25">
      <c r="A28" s="9">
        <v>25</v>
      </c>
      <c r="B28" s="10">
        <v>6</v>
      </c>
      <c r="C28" s="138" t="s">
        <v>382</v>
      </c>
      <c r="D28" s="19">
        <v>25</v>
      </c>
      <c r="E28" s="10">
        <v>6</v>
      </c>
      <c r="F28" s="138" t="s">
        <v>204</v>
      </c>
      <c r="G28" s="12">
        <v>0.5</v>
      </c>
      <c r="H28" s="272">
        <v>84366</v>
      </c>
      <c r="I28" s="14">
        <v>42183</v>
      </c>
      <c r="J28" s="448"/>
      <c r="K28" s="449"/>
    </row>
    <row r="29" spans="1:11" x14ac:dyDescent="0.25">
      <c r="A29" s="9"/>
      <c r="B29" s="10"/>
      <c r="C29" s="138"/>
      <c r="D29" s="19"/>
      <c r="E29" s="10"/>
      <c r="F29" s="138"/>
      <c r="G29" s="12"/>
      <c r="H29" s="272"/>
      <c r="I29" s="14"/>
      <c r="J29" s="448"/>
      <c r="K29" s="449"/>
    </row>
    <row r="30" spans="1:11" x14ac:dyDescent="0.25">
      <c r="A30" s="106"/>
      <c r="B30" s="106"/>
      <c r="C30" s="106"/>
      <c r="D30" s="106"/>
      <c r="E30" s="106"/>
      <c r="F30" s="106"/>
      <c r="G30" s="106"/>
      <c r="H30" s="107"/>
      <c r="I30" s="105"/>
      <c r="J30" s="448"/>
      <c r="K30" s="449"/>
    </row>
    <row r="31" spans="1:11" x14ac:dyDescent="0.25">
      <c r="A31" s="456"/>
      <c r="B31" s="456"/>
      <c r="C31" s="456"/>
      <c r="D31" s="456"/>
      <c r="E31" s="173"/>
      <c r="F31" s="173"/>
      <c r="G31" s="173"/>
      <c r="H31" s="108" t="s">
        <v>47</v>
      </c>
      <c r="I31" s="109">
        <f>SUM(I12:I30)</f>
        <v>717111</v>
      </c>
      <c r="J31" s="457"/>
      <c r="K31" s="457"/>
    </row>
    <row r="32" spans="1:11" x14ac:dyDescent="0.25">
      <c r="A32" s="456"/>
      <c r="B32" s="456"/>
      <c r="C32" s="456"/>
      <c r="D32" s="456"/>
      <c r="E32" s="173"/>
      <c r="F32" s="173"/>
      <c r="G32" s="173"/>
      <c r="H32" s="173"/>
      <c r="I32" s="110"/>
      <c r="J32" s="110"/>
      <c r="K32" s="110"/>
    </row>
    <row r="33" spans="1:11" x14ac:dyDescent="0.25">
      <c r="A33" s="111" t="s">
        <v>433</v>
      </c>
      <c r="B33" s="112"/>
      <c r="C33" s="112"/>
      <c r="D33" s="112"/>
      <c r="E33" s="113"/>
      <c r="F33" s="113"/>
      <c r="G33" s="113"/>
      <c r="H33" s="113"/>
      <c r="I33" s="110"/>
      <c r="J33" s="110"/>
      <c r="K33" s="173"/>
    </row>
    <row r="34" spans="1:11" x14ac:dyDescent="0.25">
      <c r="A34" s="114"/>
      <c r="B34" s="114"/>
      <c r="C34" s="114"/>
      <c r="D34" s="114"/>
      <c r="E34" s="114"/>
      <c r="F34" s="114"/>
      <c r="G34" s="114"/>
      <c r="H34" s="114"/>
      <c r="I34" s="115"/>
      <c r="J34" s="110"/>
      <c r="K34" s="173"/>
    </row>
    <row r="35" spans="1:11" x14ac:dyDescent="0.25">
      <c r="A35" s="114"/>
      <c r="B35" s="114"/>
      <c r="C35" s="114"/>
      <c r="D35" s="114"/>
      <c r="E35" s="114"/>
      <c r="F35" s="114"/>
      <c r="G35" s="114"/>
      <c r="H35" s="390" t="s">
        <v>61</v>
      </c>
      <c r="I35" s="390"/>
      <c r="J35" s="390"/>
      <c r="K35" s="390"/>
    </row>
    <row r="36" spans="1:11" x14ac:dyDescent="0.25">
      <c r="A36" s="459" t="s">
        <v>39</v>
      </c>
      <c r="B36" s="459"/>
      <c r="C36" s="459"/>
      <c r="D36" s="459"/>
      <c r="E36" s="459"/>
      <c r="F36" s="459"/>
      <c r="G36" s="459"/>
      <c r="H36" s="437" t="s">
        <v>38</v>
      </c>
      <c r="I36" s="437"/>
      <c r="J36" s="437"/>
      <c r="K36" s="437"/>
    </row>
    <row r="37" spans="1:11" x14ac:dyDescent="0.25">
      <c r="A37" s="460" t="s">
        <v>404</v>
      </c>
      <c r="B37" s="460"/>
      <c r="C37" s="460"/>
      <c r="D37" s="460"/>
      <c r="E37" s="460"/>
      <c r="F37" s="460"/>
      <c r="G37" s="460"/>
      <c r="H37" s="437"/>
      <c r="I37" s="437"/>
      <c r="J37" s="437"/>
      <c r="K37" s="437"/>
    </row>
    <row r="38" spans="1:11" x14ac:dyDescent="0.25">
      <c r="A38" s="86"/>
      <c r="B38" s="86"/>
      <c r="C38" s="86"/>
      <c r="D38" s="86"/>
      <c r="E38" s="86"/>
      <c r="F38" s="86"/>
      <c r="G38" s="86"/>
      <c r="H38" s="389" t="s">
        <v>61</v>
      </c>
      <c r="I38" s="389"/>
      <c r="J38" s="389"/>
      <c r="K38" s="389"/>
    </row>
    <row r="39" spans="1:11" x14ac:dyDescent="0.25">
      <c r="A39" s="86"/>
      <c r="B39" s="86"/>
      <c r="C39" s="86"/>
      <c r="D39" s="86"/>
      <c r="E39" s="86"/>
      <c r="F39" s="86"/>
      <c r="G39" s="86"/>
      <c r="H39" s="437" t="s">
        <v>40</v>
      </c>
      <c r="I39" s="437"/>
      <c r="J39" s="437"/>
      <c r="K39" s="437"/>
    </row>
    <row r="40" spans="1:11" x14ac:dyDescent="0.25">
      <c r="A40" s="458"/>
      <c r="B40" s="458"/>
      <c r="C40" s="173"/>
      <c r="D40" s="173"/>
      <c r="E40" s="173"/>
      <c r="F40" s="173"/>
      <c r="G40" s="173"/>
      <c r="H40" s="173"/>
      <c r="I40" s="86"/>
      <c r="J40" s="173"/>
    </row>
    <row r="41" spans="1:11" x14ac:dyDescent="0.25">
      <c r="A41" s="458"/>
      <c r="B41" s="458"/>
      <c r="C41" s="173"/>
      <c r="D41" s="173"/>
      <c r="E41" s="173"/>
      <c r="F41" s="173"/>
      <c r="G41" s="173"/>
      <c r="H41" s="390"/>
      <c r="I41" s="390"/>
      <c r="J41" s="390"/>
      <c r="K41" s="390"/>
    </row>
    <row r="42" spans="1:11" x14ac:dyDescent="0.25">
      <c r="A42" s="174"/>
      <c r="B42" s="169"/>
      <c r="C42" s="169"/>
      <c r="D42" s="169"/>
      <c r="E42" s="169"/>
      <c r="F42" s="117"/>
      <c r="G42" s="117"/>
      <c r="H42" s="437"/>
      <c r="I42" s="437"/>
      <c r="J42" s="437"/>
      <c r="K42" s="437"/>
    </row>
    <row r="43" spans="1:11" x14ac:dyDescent="0.25">
      <c r="A43" s="174"/>
      <c r="B43" s="169"/>
      <c r="C43" s="173"/>
      <c r="D43" s="173"/>
      <c r="E43" s="173"/>
      <c r="F43" s="117"/>
      <c r="G43" s="117"/>
      <c r="H43" s="117"/>
      <c r="I43" s="86"/>
      <c r="J43" s="86"/>
      <c r="K43" s="86"/>
    </row>
    <row r="44" spans="1:11" x14ac:dyDescent="0.25">
      <c r="A44" s="117"/>
      <c r="B44" s="169"/>
      <c r="C44" s="115"/>
      <c r="D44" s="115"/>
      <c r="E44" s="115"/>
      <c r="F44" s="115"/>
      <c r="G44" s="115"/>
      <c r="H44" s="115"/>
    </row>
  </sheetData>
  <mergeCells count="46">
    <mergeCell ref="H39:K39"/>
    <mergeCell ref="A40:B41"/>
    <mergeCell ref="H41:K41"/>
    <mergeCell ref="H42:K42"/>
    <mergeCell ref="H35:K35"/>
    <mergeCell ref="A36:G36"/>
    <mergeCell ref="H36:K36"/>
    <mergeCell ref="A37:G37"/>
    <mergeCell ref="H37:K37"/>
    <mergeCell ref="H38:K38"/>
    <mergeCell ref="A32:B32"/>
    <mergeCell ref="C32:D32"/>
    <mergeCell ref="J25:K25"/>
    <mergeCell ref="J26:K26"/>
    <mergeCell ref="J27:K27"/>
    <mergeCell ref="J28:K28"/>
    <mergeCell ref="J29:K29"/>
    <mergeCell ref="J30:K30"/>
    <mergeCell ref="A31:B31"/>
    <mergeCell ref="C31:D31"/>
    <mergeCell ref="J31:K3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4"/>
  <sheetViews>
    <sheetView topLeftCell="A4" workbookViewId="0">
      <selection activeCell="A35" sqref="A35"/>
    </sheetView>
  </sheetViews>
  <sheetFormatPr baseColWidth="10" defaultRowHeight="15" x14ac:dyDescent="0.25"/>
  <cols>
    <col min="1" max="1" width="5.5703125" customWidth="1"/>
    <col min="2" max="2" width="6" customWidth="1"/>
    <col min="3" max="3" width="7.28515625" customWidth="1"/>
    <col min="4" max="5" width="5.42578125" customWidth="1"/>
    <col min="6" max="6" width="7.7109375" customWidth="1"/>
    <col min="7" max="7" width="6.85546875" customWidth="1"/>
    <col min="8" max="8" width="12.85546875" customWidth="1"/>
    <col min="9" max="9" width="14.28515625" customWidth="1"/>
    <col min="10" max="10" width="6" customWidth="1"/>
    <col min="11" max="11" width="9.85546875" customWidth="1"/>
  </cols>
  <sheetData>
    <row r="1" spans="1:11" ht="19.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9.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ht="19.5" customHeight="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ht="19.5" customHeight="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ht="19.5" customHeight="1" x14ac:dyDescent="0.25">
      <c r="A5" s="429" t="s">
        <v>66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ht="19.5" customHeight="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ht="19.5" customHeight="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ht="19.5" customHeight="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ht="19.5" customHeight="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ht="18" customHeight="1" x14ac:dyDescent="0.25">
      <c r="A10" s="66" t="s">
        <v>2</v>
      </c>
      <c r="B10" s="67"/>
      <c r="C10" s="68"/>
      <c r="D10" s="69" t="s">
        <v>6</v>
      </c>
      <c r="E10" s="67"/>
      <c r="F10" s="68"/>
      <c r="G10" s="69" t="s">
        <v>7</v>
      </c>
      <c r="H10" s="68"/>
      <c r="I10" s="418" t="s">
        <v>10</v>
      </c>
      <c r="J10" s="420" t="s">
        <v>33</v>
      </c>
      <c r="K10" s="421"/>
    </row>
    <row r="11" spans="1:11" ht="18" customHeight="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ht="18" customHeight="1" x14ac:dyDescent="0.25">
      <c r="A12" s="18">
        <v>2</v>
      </c>
      <c r="B12" s="10">
        <v>6</v>
      </c>
      <c r="C12" s="138" t="s">
        <v>315</v>
      </c>
      <c r="D12" s="9">
        <v>2</v>
      </c>
      <c r="E12" s="10">
        <v>6</v>
      </c>
      <c r="F12" s="138" t="s">
        <v>316</v>
      </c>
      <c r="G12" s="12">
        <v>0.5</v>
      </c>
      <c r="H12" s="272">
        <v>84366</v>
      </c>
      <c r="I12" s="14">
        <f t="shared" ref="I12" si="0">H12*G12</f>
        <v>42183</v>
      </c>
      <c r="J12" s="448"/>
      <c r="K12" s="449"/>
    </row>
    <row r="13" spans="1:11" ht="18" customHeight="1" x14ac:dyDescent="0.25">
      <c r="A13" s="229"/>
      <c r="B13" s="10"/>
      <c r="C13" s="229"/>
      <c r="D13" s="19"/>
      <c r="E13" s="10"/>
      <c r="F13" s="139"/>
      <c r="G13" s="12"/>
      <c r="H13" s="272"/>
      <c r="I13" s="14"/>
      <c r="J13" s="448"/>
      <c r="K13" s="449"/>
    </row>
    <row r="14" spans="1:11" ht="18" customHeight="1" x14ac:dyDescent="0.25">
      <c r="A14" s="9"/>
      <c r="B14" s="10"/>
      <c r="C14" s="138"/>
      <c r="D14" s="9"/>
      <c r="E14" s="10"/>
      <c r="F14" s="138"/>
      <c r="G14" s="12"/>
      <c r="H14" s="272"/>
      <c r="I14" s="14"/>
      <c r="J14" s="448"/>
      <c r="K14" s="449"/>
    </row>
    <row r="15" spans="1:11" ht="18" customHeight="1" x14ac:dyDescent="0.25">
      <c r="A15" s="9"/>
      <c r="B15" s="10"/>
      <c r="C15" s="138"/>
      <c r="D15" s="19"/>
      <c r="E15" s="10"/>
      <c r="F15" s="138"/>
      <c r="G15" s="12"/>
      <c r="H15" s="272"/>
      <c r="I15" s="14"/>
      <c r="J15" s="448"/>
      <c r="K15" s="449"/>
    </row>
    <row r="16" spans="1:11" ht="18" customHeight="1" x14ac:dyDescent="0.25">
      <c r="A16" s="9"/>
      <c r="B16" s="10"/>
      <c r="C16" s="138"/>
      <c r="D16" s="19"/>
      <c r="E16" s="10"/>
      <c r="F16" s="138"/>
      <c r="G16" s="12"/>
      <c r="H16" s="272"/>
      <c r="I16" s="14"/>
      <c r="J16" s="448"/>
      <c r="K16" s="449"/>
    </row>
    <row r="17" spans="1:11" ht="18" customHeight="1" x14ac:dyDescent="0.25">
      <c r="A17" s="9"/>
      <c r="B17" s="10"/>
      <c r="C17" s="138"/>
      <c r="D17" s="9"/>
      <c r="E17" s="10"/>
      <c r="F17" s="138"/>
      <c r="G17" s="12"/>
      <c r="H17" s="272"/>
      <c r="I17" s="14"/>
      <c r="J17" s="448"/>
      <c r="K17" s="449"/>
    </row>
    <row r="18" spans="1:11" ht="18" customHeight="1" x14ac:dyDescent="0.25">
      <c r="A18" s="9"/>
      <c r="B18" s="10"/>
      <c r="C18" s="138"/>
      <c r="D18" s="19"/>
      <c r="E18" s="10"/>
      <c r="F18" s="139"/>
      <c r="G18" s="12"/>
      <c r="H18" s="272"/>
      <c r="I18" s="14"/>
      <c r="J18" s="448"/>
      <c r="K18" s="449"/>
    </row>
    <row r="19" spans="1:11" ht="18" customHeight="1" x14ac:dyDescent="0.25">
      <c r="A19" s="9"/>
      <c r="B19" s="10"/>
      <c r="C19" s="138"/>
      <c r="D19" s="22"/>
      <c r="E19" s="10"/>
      <c r="F19" s="138"/>
      <c r="G19" s="12"/>
      <c r="H19" s="272"/>
      <c r="I19" s="14"/>
      <c r="J19" s="448"/>
      <c r="K19" s="449"/>
    </row>
    <row r="20" spans="1:11" ht="18" customHeight="1" x14ac:dyDescent="0.25">
      <c r="A20" s="244"/>
      <c r="B20" s="10"/>
      <c r="C20" s="245"/>
      <c r="D20" s="246"/>
      <c r="E20" s="10"/>
      <c r="F20" s="245"/>
      <c r="G20" s="247"/>
      <c r="H20" s="272"/>
      <c r="I20" s="248"/>
      <c r="J20" s="448"/>
      <c r="K20" s="449"/>
    </row>
    <row r="21" spans="1:11" ht="18" customHeight="1" x14ac:dyDescent="0.25">
      <c r="A21" s="9"/>
      <c r="B21" s="10"/>
      <c r="C21" s="138"/>
      <c r="D21" s="18"/>
      <c r="E21" s="10"/>
      <c r="F21" s="138"/>
      <c r="G21" s="12"/>
      <c r="H21" s="272"/>
      <c r="I21" s="14"/>
      <c r="J21" s="448"/>
      <c r="K21" s="449"/>
    </row>
    <row r="22" spans="1:11" ht="18" customHeight="1" x14ac:dyDescent="0.25">
      <c r="A22" s="9"/>
      <c r="B22" s="10"/>
      <c r="C22" s="138"/>
      <c r="D22" s="19"/>
      <c r="E22" s="10"/>
      <c r="F22" s="138"/>
      <c r="G22" s="12"/>
      <c r="H22" s="272"/>
      <c r="I22" s="14"/>
      <c r="J22" s="448"/>
      <c r="K22" s="449"/>
    </row>
    <row r="23" spans="1:11" ht="18" customHeight="1" x14ac:dyDescent="0.25">
      <c r="A23" s="9"/>
      <c r="B23" s="10"/>
      <c r="C23" s="138"/>
      <c r="D23" s="19"/>
      <c r="E23" s="10"/>
      <c r="F23" s="139"/>
      <c r="G23" s="12"/>
      <c r="H23" s="272"/>
      <c r="I23" s="14"/>
      <c r="J23" s="448"/>
      <c r="K23" s="449"/>
    </row>
    <row r="24" spans="1:11" ht="18" customHeight="1" x14ac:dyDescent="0.25">
      <c r="A24" s="9"/>
      <c r="B24" s="10"/>
      <c r="C24" s="138"/>
      <c r="D24" s="19"/>
      <c r="E24" s="10"/>
      <c r="F24" s="138"/>
      <c r="G24" s="12"/>
      <c r="H24" s="272"/>
      <c r="I24" s="14"/>
      <c r="J24" s="448"/>
      <c r="K24" s="449"/>
    </row>
    <row r="25" spans="1:11" ht="18" customHeight="1" x14ac:dyDescent="0.25">
      <c r="A25" s="9"/>
      <c r="B25" s="10"/>
      <c r="C25" s="138"/>
      <c r="D25" s="9"/>
      <c r="E25" s="10"/>
      <c r="F25" s="138"/>
      <c r="G25" s="12"/>
      <c r="H25" s="272"/>
      <c r="I25" s="14"/>
      <c r="J25" s="448"/>
      <c r="K25" s="449"/>
    </row>
    <row r="26" spans="1:11" ht="18" customHeight="1" x14ac:dyDescent="0.25">
      <c r="A26" s="9"/>
      <c r="B26" s="10"/>
      <c r="C26" s="138"/>
      <c r="D26" s="19"/>
      <c r="E26" s="10"/>
      <c r="F26" s="138"/>
      <c r="G26" s="12"/>
      <c r="H26" s="272"/>
      <c r="I26" s="14"/>
      <c r="J26" s="448"/>
      <c r="K26" s="449"/>
    </row>
    <row r="27" spans="1:11" ht="18" customHeight="1" x14ac:dyDescent="0.25">
      <c r="A27" s="23"/>
      <c r="B27" s="10"/>
      <c r="C27" s="138"/>
      <c r="D27" s="19"/>
      <c r="E27" s="10"/>
      <c r="F27" s="138"/>
      <c r="G27" s="12"/>
      <c r="H27" s="272"/>
      <c r="I27" s="14"/>
      <c r="J27" s="448"/>
      <c r="K27" s="449"/>
    </row>
    <row r="28" spans="1:11" ht="18" customHeight="1" x14ac:dyDescent="0.25">
      <c r="A28" s="9"/>
      <c r="B28" s="10"/>
      <c r="C28" s="138"/>
      <c r="D28" s="9"/>
      <c r="E28" s="10"/>
      <c r="F28" s="138"/>
      <c r="G28" s="12"/>
      <c r="H28" s="272"/>
      <c r="I28" s="14"/>
      <c r="J28" s="448"/>
      <c r="K28" s="449"/>
    </row>
    <row r="29" spans="1:11" s="228" customFormat="1" ht="18" customHeight="1" x14ac:dyDescent="0.25">
      <c r="A29" s="9"/>
      <c r="B29" s="10"/>
      <c r="C29" s="138"/>
      <c r="D29" s="19"/>
      <c r="E29" s="10"/>
      <c r="F29" s="138"/>
      <c r="G29" s="12"/>
      <c r="H29" s="272"/>
      <c r="I29" s="14"/>
      <c r="J29" s="347"/>
      <c r="K29" s="348"/>
    </row>
    <row r="30" spans="1:11" ht="18" customHeight="1" x14ac:dyDescent="0.25">
      <c r="A30" s="9"/>
      <c r="B30" s="10"/>
      <c r="C30" s="138"/>
      <c r="D30" s="19"/>
      <c r="E30" s="10"/>
      <c r="F30" s="138"/>
      <c r="G30" s="12"/>
      <c r="H30" s="272"/>
      <c r="I30" s="14"/>
      <c r="J30" s="448"/>
      <c r="K30" s="449"/>
    </row>
    <row r="31" spans="1:11" ht="18" customHeight="1" x14ac:dyDescent="0.25">
      <c r="A31" s="9"/>
      <c r="B31" s="10"/>
      <c r="C31" s="138"/>
      <c r="D31" s="19"/>
      <c r="E31" s="10"/>
      <c r="F31" s="138"/>
      <c r="G31" s="12"/>
      <c r="H31" s="272"/>
      <c r="I31" s="14"/>
      <c r="J31" s="448"/>
      <c r="K31" s="449"/>
    </row>
    <row r="32" spans="1:11" ht="18" customHeight="1" x14ac:dyDescent="0.25">
      <c r="A32" s="456"/>
      <c r="B32" s="456"/>
      <c r="C32" s="456"/>
      <c r="D32" s="456"/>
      <c r="E32" s="90"/>
      <c r="F32" s="90"/>
      <c r="G32" s="90"/>
      <c r="H32" s="108" t="s">
        <v>47</v>
      </c>
      <c r="I32" s="109">
        <f>SUM(I12:I31)</f>
        <v>42183</v>
      </c>
      <c r="J32" s="457"/>
      <c r="K32" s="457"/>
    </row>
    <row r="33" spans="1:11" ht="18" customHeight="1" x14ac:dyDescent="0.25">
      <c r="A33" s="456"/>
      <c r="B33" s="456"/>
      <c r="C33" s="456"/>
      <c r="D33" s="456"/>
      <c r="E33" s="90"/>
      <c r="F33" s="90"/>
      <c r="G33" s="90"/>
      <c r="H33" s="90"/>
      <c r="I33" s="110"/>
      <c r="J33" s="110"/>
      <c r="K33" s="110"/>
    </row>
    <row r="34" spans="1:11" ht="18" customHeight="1" x14ac:dyDescent="0.25">
      <c r="A34" s="111" t="s">
        <v>410</v>
      </c>
      <c r="B34" s="112"/>
      <c r="C34" s="112"/>
      <c r="D34" s="112"/>
      <c r="E34" s="113"/>
      <c r="F34" s="113"/>
      <c r="G34" s="113"/>
      <c r="H34" s="113"/>
      <c r="I34" s="110"/>
      <c r="J34" s="110"/>
      <c r="K34" s="90"/>
    </row>
    <row r="35" spans="1:11" ht="18" customHeight="1" x14ac:dyDescent="0.25">
      <c r="A35" s="114"/>
      <c r="B35" s="114"/>
      <c r="C35" s="114"/>
      <c r="D35" s="114"/>
      <c r="E35" s="114"/>
      <c r="F35" s="114"/>
      <c r="G35" s="114"/>
      <c r="H35" s="390" t="s">
        <v>61</v>
      </c>
      <c r="I35" s="390"/>
      <c r="J35" s="390"/>
      <c r="K35" s="390"/>
    </row>
    <row r="36" spans="1:11" ht="18" customHeight="1" x14ac:dyDescent="0.25">
      <c r="A36" s="459" t="s">
        <v>39</v>
      </c>
      <c r="B36" s="459"/>
      <c r="C36" s="459"/>
      <c r="D36" s="459"/>
      <c r="E36" s="459"/>
      <c r="F36" s="459"/>
      <c r="G36" s="459"/>
      <c r="H36" s="437" t="s">
        <v>38</v>
      </c>
      <c r="I36" s="437"/>
      <c r="J36" s="437"/>
      <c r="K36" s="437"/>
    </row>
    <row r="37" spans="1:11" ht="18" customHeight="1" x14ac:dyDescent="0.25">
      <c r="A37" s="460" t="s">
        <v>404</v>
      </c>
      <c r="B37" s="460"/>
      <c r="C37" s="460"/>
      <c r="D37" s="460"/>
      <c r="E37" s="460"/>
      <c r="F37" s="460"/>
      <c r="G37" s="460"/>
      <c r="H37" s="437"/>
      <c r="I37" s="437"/>
      <c r="J37" s="437"/>
      <c r="K37" s="437"/>
    </row>
    <row r="38" spans="1:11" ht="18" customHeight="1" x14ac:dyDescent="0.25">
      <c r="A38" s="86"/>
      <c r="B38" s="86"/>
      <c r="C38" s="86"/>
      <c r="D38" s="86"/>
      <c r="E38" s="86"/>
      <c r="F38" s="86"/>
      <c r="G38" s="86"/>
      <c r="H38" s="389" t="s">
        <v>61</v>
      </c>
      <c r="I38" s="389"/>
      <c r="J38" s="389"/>
      <c r="K38" s="389"/>
    </row>
    <row r="39" spans="1:11" ht="18" customHeight="1" x14ac:dyDescent="0.25">
      <c r="A39" s="86"/>
      <c r="B39" s="86"/>
      <c r="C39" s="86"/>
      <c r="D39" s="86"/>
      <c r="E39" s="86"/>
      <c r="F39" s="86"/>
      <c r="G39" s="86"/>
      <c r="H39" s="437" t="s">
        <v>40</v>
      </c>
      <c r="I39" s="437"/>
      <c r="J39" s="437"/>
      <c r="K39" s="437"/>
    </row>
    <row r="40" spans="1:11" ht="18" customHeight="1" x14ac:dyDescent="0.25">
      <c r="A40" s="458"/>
      <c r="B40" s="458"/>
      <c r="C40" s="90"/>
      <c r="D40" s="90"/>
      <c r="E40" s="90"/>
      <c r="F40" s="90"/>
      <c r="G40" s="90"/>
      <c r="H40" s="90"/>
      <c r="I40" s="86"/>
      <c r="J40" s="90"/>
    </row>
    <row r="41" spans="1:11" ht="18" customHeight="1" x14ac:dyDescent="0.25">
      <c r="A41" s="458"/>
      <c r="B41" s="458"/>
      <c r="C41" s="90"/>
      <c r="D41" s="90"/>
      <c r="E41" s="90"/>
      <c r="F41" s="90"/>
      <c r="G41" s="90"/>
      <c r="H41" s="390"/>
      <c r="I41" s="390"/>
      <c r="J41" s="390"/>
      <c r="K41" s="390"/>
    </row>
    <row r="42" spans="1:11" ht="18" customHeight="1" x14ac:dyDescent="0.25">
      <c r="A42" s="91"/>
      <c r="B42" s="89"/>
      <c r="C42" s="89"/>
      <c r="D42" s="89"/>
      <c r="E42" s="89"/>
      <c r="F42" s="117"/>
      <c r="G42" s="117"/>
      <c r="H42" s="437"/>
      <c r="I42" s="437"/>
      <c r="J42" s="437"/>
      <c r="K42" s="437"/>
    </row>
    <row r="43" spans="1:11" ht="18" customHeight="1" x14ac:dyDescent="0.25">
      <c r="A43" s="91"/>
      <c r="B43" s="89"/>
      <c r="C43" s="90"/>
      <c r="D43" s="90"/>
      <c r="E43" s="90"/>
      <c r="F43" s="117"/>
      <c r="G43" s="117"/>
      <c r="H43" s="117"/>
      <c r="I43" s="86"/>
      <c r="J43" s="86"/>
      <c r="K43" s="86"/>
    </row>
    <row r="44" spans="1:11" ht="18" customHeight="1" x14ac:dyDescent="0.25">
      <c r="A44" s="117"/>
      <c r="B44" s="89"/>
      <c r="C44" s="115"/>
      <c r="D44" s="115"/>
      <c r="E44" s="115"/>
      <c r="F44" s="115"/>
      <c r="G44" s="115"/>
      <c r="H44" s="115"/>
    </row>
  </sheetData>
  <mergeCells count="46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3:B33"/>
    <mergeCell ref="C33:D33"/>
    <mergeCell ref="J25:K25"/>
    <mergeCell ref="J26:K26"/>
    <mergeCell ref="J27:K27"/>
    <mergeCell ref="J28:K28"/>
    <mergeCell ref="J30:K30"/>
    <mergeCell ref="J31:K31"/>
    <mergeCell ref="A32:B32"/>
    <mergeCell ref="C32:D32"/>
    <mergeCell ref="J32:K32"/>
    <mergeCell ref="H35:K35"/>
    <mergeCell ref="H36:K36"/>
    <mergeCell ref="A40:B41"/>
    <mergeCell ref="H41:K41"/>
    <mergeCell ref="H42:K42"/>
    <mergeCell ref="H37:K37"/>
    <mergeCell ref="A36:G36"/>
    <mergeCell ref="A37:G37"/>
    <mergeCell ref="H39:K39"/>
    <mergeCell ref="H38:K38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workbookViewId="0">
      <selection activeCell="H39" sqref="A39:XFD39"/>
    </sheetView>
  </sheetViews>
  <sheetFormatPr baseColWidth="10" defaultRowHeight="15" x14ac:dyDescent="0.25"/>
  <cols>
    <col min="1" max="1" width="5.5703125" customWidth="1"/>
    <col min="2" max="2" width="6" customWidth="1"/>
    <col min="3" max="3" width="7.28515625" customWidth="1"/>
    <col min="4" max="5" width="5.42578125" customWidth="1"/>
    <col min="6" max="6" width="7.7109375" customWidth="1"/>
    <col min="7" max="7" width="6.85546875" customWidth="1"/>
    <col min="8" max="8" width="12.85546875" customWidth="1"/>
    <col min="9" max="9" width="14.28515625" customWidth="1"/>
    <col min="10" max="10" width="6" customWidth="1"/>
    <col min="11" max="11" width="9.85546875" customWidth="1"/>
  </cols>
  <sheetData>
    <row r="1" spans="1:11" ht="1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139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160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46113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208"/>
      <c r="C10" s="209"/>
      <c r="D10" s="207" t="s">
        <v>6</v>
      </c>
      <c r="E10" s="208"/>
      <c r="F10" s="209"/>
      <c r="G10" s="207" t="s">
        <v>7</v>
      </c>
      <c r="H10" s="209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30</v>
      </c>
      <c r="B12" s="10">
        <v>4</v>
      </c>
      <c r="C12" s="138" t="s">
        <v>182</v>
      </c>
      <c r="D12" s="19">
        <v>30</v>
      </c>
      <c r="E12" s="10">
        <v>4</v>
      </c>
      <c r="F12" s="138" t="s">
        <v>211</v>
      </c>
      <c r="G12" s="12">
        <v>0.5</v>
      </c>
      <c r="H12" s="272">
        <v>81166</v>
      </c>
      <c r="I12" s="14">
        <f t="shared" ref="I12" si="0">H12*G12</f>
        <v>40583</v>
      </c>
      <c r="J12" s="448"/>
      <c r="K12" s="449"/>
    </row>
    <row r="13" spans="1:11" x14ac:dyDescent="0.25">
      <c r="A13" s="244"/>
      <c r="B13" s="10"/>
      <c r="C13" s="245"/>
      <c r="D13" s="246"/>
      <c r="E13" s="10"/>
      <c r="F13" s="245"/>
      <c r="G13" s="247"/>
      <c r="H13" s="272"/>
      <c r="I13" s="248"/>
      <c r="J13" s="448"/>
      <c r="K13" s="449"/>
    </row>
    <row r="14" spans="1:11" x14ac:dyDescent="0.25">
      <c r="A14" s="244"/>
      <c r="B14" s="10"/>
      <c r="C14" s="245"/>
      <c r="D14" s="246"/>
      <c r="E14" s="10"/>
      <c r="F14" s="245"/>
      <c r="G14" s="247"/>
      <c r="H14" s="272"/>
      <c r="I14" s="248"/>
      <c r="J14" s="448"/>
      <c r="K14" s="449"/>
    </row>
    <row r="15" spans="1:11" x14ac:dyDescent="0.25">
      <c r="A15" s="9"/>
      <c r="B15" s="10"/>
      <c r="C15" s="138"/>
      <c r="D15" s="9"/>
      <c r="E15" s="10"/>
      <c r="F15" s="138"/>
      <c r="G15" s="12"/>
      <c r="H15" s="13"/>
      <c r="I15" s="14"/>
      <c r="J15" s="448"/>
      <c r="K15" s="449"/>
    </row>
    <row r="16" spans="1:11" x14ac:dyDescent="0.25">
      <c r="A16" s="9"/>
      <c r="B16" s="10"/>
      <c r="C16" s="138"/>
      <c r="D16" s="19"/>
      <c r="E16" s="10"/>
      <c r="F16" s="138"/>
      <c r="G16" s="12"/>
      <c r="H16" s="13"/>
      <c r="I16" s="14"/>
      <c r="J16" s="448"/>
      <c r="K16" s="449"/>
    </row>
    <row r="17" spans="1:11" x14ac:dyDescent="0.25">
      <c r="A17" s="9"/>
      <c r="B17" s="10"/>
      <c r="C17" s="138"/>
      <c r="D17" s="19"/>
      <c r="E17" s="10"/>
      <c r="F17" s="138"/>
      <c r="G17" s="12"/>
      <c r="H17" s="13"/>
      <c r="I17" s="14"/>
      <c r="J17" s="448"/>
      <c r="K17" s="449"/>
    </row>
    <row r="18" spans="1:11" x14ac:dyDescent="0.25">
      <c r="A18" s="9"/>
      <c r="B18" s="10"/>
      <c r="C18" s="138"/>
      <c r="D18" s="9"/>
      <c r="E18" s="10"/>
      <c r="F18" s="138"/>
      <c r="G18" s="12"/>
      <c r="H18" s="13"/>
      <c r="I18" s="14"/>
      <c r="J18" s="448"/>
      <c r="K18" s="449"/>
    </row>
    <row r="19" spans="1:11" x14ac:dyDescent="0.25">
      <c r="A19" s="9"/>
      <c r="B19" s="10"/>
      <c r="C19" s="138"/>
      <c r="D19" s="19"/>
      <c r="E19" s="10"/>
      <c r="F19" s="138"/>
      <c r="G19" s="12"/>
      <c r="H19" s="13"/>
      <c r="I19" s="14"/>
      <c r="J19" s="448"/>
      <c r="K19" s="449"/>
    </row>
    <row r="20" spans="1:11" x14ac:dyDescent="0.25">
      <c r="A20" s="23"/>
      <c r="B20" s="10"/>
      <c r="C20" s="138"/>
      <c r="D20" s="9"/>
      <c r="E20" s="10"/>
      <c r="F20" s="138"/>
      <c r="G20" s="12"/>
      <c r="H20" s="13"/>
      <c r="I20" s="14"/>
      <c r="J20" s="448"/>
      <c r="K20" s="449"/>
    </row>
    <row r="21" spans="1:11" x14ac:dyDescent="0.25">
      <c r="A21" s="9"/>
      <c r="B21" s="10"/>
      <c r="C21" s="138"/>
      <c r="D21" s="9"/>
      <c r="E21" s="10"/>
      <c r="F21" s="138"/>
      <c r="G21" s="12"/>
      <c r="H21" s="13"/>
      <c r="I21" s="14"/>
      <c r="J21" s="448"/>
      <c r="K21" s="449"/>
    </row>
    <row r="22" spans="1:11" x14ac:dyDescent="0.25">
      <c r="A22" s="9"/>
      <c r="B22" s="10"/>
      <c r="C22" s="138"/>
      <c r="D22" s="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1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23"/>
      <c r="E26" s="10"/>
      <c r="F26" s="138"/>
      <c r="G26" s="12"/>
      <c r="H26" s="13"/>
      <c r="I26" s="14"/>
      <c r="J26" s="448"/>
      <c r="K26" s="449"/>
    </row>
    <row r="27" spans="1:11" x14ac:dyDescent="0.25">
      <c r="A27" s="9"/>
      <c r="B27" s="10"/>
      <c r="C27" s="138"/>
      <c r="D27" s="9"/>
      <c r="E27" s="10"/>
      <c r="F27" s="138"/>
      <c r="G27" s="12"/>
      <c r="H27" s="13"/>
      <c r="I27" s="14"/>
      <c r="J27" s="448"/>
      <c r="K27" s="449"/>
    </row>
    <row r="28" spans="1:11" x14ac:dyDescent="0.25">
      <c r="A28" s="9"/>
      <c r="B28" s="10"/>
      <c r="C28" s="138"/>
      <c r="D28" s="9"/>
      <c r="E28" s="10"/>
      <c r="F28" s="138"/>
      <c r="G28" s="12"/>
      <c r="H28" s="13"/>
      <c r="I28" s="14"/>
      <c r="J28" s="448"/>
      <c r="K28" s="449"/>
    </row>
    <row r="29" spans="1:11" x14ac:dyDescent="0.25">
      <c r="A29" s="29"/>
      <c r="B29" s="29"/>
      <c r="C29" s="30"/>
      <c r="D29" s="29"/>
      <c r="E29" s="29"/>
      <c r="F29" s="30"/>
      <c r="G29" s="12"/>
      <c r="H29" s="13"/>
      <c r="I29" s="1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217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217"/>
      <c r="J32" s="448"/>
      <c r="K32" s="449"/>
    </row>
    <row r="33" spans="1:11" x14ac:dyDescent="0.25">
      <c r="A33" s="456"/>
      <c r="B33" s="456"/>
      <c r="C33" s="456"/>
      <c r="D33" s="456"/>
      <c r="E33" s="213"/>
      <c r="F33" s="213"/>
      <c r="G33" s="213"/>
      <c r="H33" s="108" t="s">
        <v>47</v>
      </c>
      <c r="I33" s="109">
        <f>SUM(I12:I32)</f>
        <v>40583</v>
      </c>
      <c r="J33" s="457"/>
      <c r="K33" s="457"/>
    </row>
    <row r="34" spans="1:11" x14ac:dyDescent="0.25">
      <c r="A34" s="456"/>
      <c r="B34" s="456"/>
      <c r="C34" s="456"/>
      <c r="D34" s="456"/>
      <c r="E34" s="213"/>
      <c r="F34" s="213"/>
      <c r="G34" s="213"/>
      <c r="H34" s="213"/>
      <c r="I34" s="110"/>
      <c r="J34" s="110"/>
      <c r="K34" s="110"/>
    </row>
    <row r="35" spans="1:11" x14ac:dyDescent="0.25">
      <c r="A35" s="111" t="s">
        <v>260</v>
      </c>
      <c r="B35" s="112"/>
      <c r="C35" s="112"/>
      <c r="D35" s="112"/>
      <c r="E35" s="113"/>
      <c r="F35" s="113"/>
      <c r="G35" s="113"/>
      <c r="H35" s="113"/>
      <c r="I35" s="110"/>
      <c r="J35" s="110"/>
      <c r="K35" s="213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213"/>
    </row>
    <row r="37" spans="1:11" x14ac:dyDescent="0.25">
      <c r="A37" s="114"/>
      <c r="B37" s="114"/>
      <c r="C37" s="114"/>
      <c r="D37" s="114"/>
      <c r="E37" s="114"/>
      <c r="F37" s="114"/>
      <c r="G37" s="114"/>
      <c r="H37" s="390" t="s">
        <v>61</v>
      </c>
      <c r="I37" s="390"/>
      <c r="J37" s="390"/>
      <c r="K37" s="390"/>
    </row>
    <row r="38" spans="1:11" x14ac:dyDescent="0.25">
      <c r="A38" s="459" t="s">
        <v>39</v>
      </c>
      <c r="B38" s="459"/>
      <c r="C38" s="459"/>
      <c r="D38" s="459"/>
      <c r="E38" s="459"/>
      <c r="F38" s="459"/>
      <c r="G38" s="459"/>
      <c r="H38" s="437" t="s">
        <v>38</v>
      </c>
      <c r="I38" s="437"/>
      <c r="J38" s="437"/>
      <c r="K38" s="437"/>
    </row>
    <row r="39" spans="1:11" x14ac:dyDescent="0.25">
      <c r="A39" s="460" t="s">
        <v>261</v>
      </c>
      <c r="B39" s="460"/>
      <c r="C39" s="460"/>
      <c r="D39" s="460"/>
      <c r="E39" s="460"/>
      <c r="F39" s="460"/>
      <c r="G39" s="460"/>
      <c r="H39" s="437"/>
      <c r="I39" s="437"/>
      <c r="J39" s="437"/>
      <c r="K39" s="437"/>
    </row>
    <row r="40" spans="1:11" x14ac:dyDescent="0.25">
      <c r="A40" s="86"/>
      <c r="B40" s="86"/>
      <c r="C40" s="86"/>
      <c r="D40" s="86"/>
      <c r="E40" s="86"/>
      <c r="F40" s="86"/>
      <c r="G40" s="86"/>
      <c r="H40" s="389" t="s">
        <v>61</v>
      </c>
      <c r="I40" s="389"/>
      <c r="J40" s="389"/>
      <c r="K40" s="389"/>
    </row>
    <row r="41" spans="1:11" x14ac:dyDescent="0.25">
      <c r="A41" s="86"/>
      <c r="B41" s="86"/>
      <c r="C41" s="86"/>
      <c r="D41" s="86"/>
      <c r="E41" s="86"/>
      <c r="F41" s="86"/>
      <c r="G41" s="86"/>
      <c r="H41" s="437" t="s">
        <v>40</v>
      </c>
      <c r="I41" s="437"/>
      <c r="J41" s="437"/>
      <c r="K41" s="437"/>
    </row>
    <row r="42" spans="1:11" x14ac:dyDescent="0.25">
      <c r="A42" s="458"/>
      <c r="B42" s="458"/>
      <c r="C42" s="213"/>
      <c r="D42" s="213"/>
      <c r="E42" s="213"/>
      <c r="F42" s="213"/>
      <c r="G42" s="213"/>
      <c r="H42" s="213"/>
      <c r="I42" s="86"/>
      <c r="J42" s="213"/>
    </row>
    <row r="43" spans="1:11" x14ac:dyDescent="0.25">
      <c r="A43" s="458"/>
      <c r="B43" s="458"/>
      <c r="C43" s="213"/>
      <c r="D43" s="213"/>
      <c r="E43" s="213"/>
      <c r="F43" s="213"/>
      <c r="G43" s="213"/>
      <c r="H43" s="390"/>
      <c r="I43" s="390"/>
      <c r="J43" s="390"/>
      <c r="K43" s="390"/>
    </row>
    <row r="44" spans="1:11" x14ac:dyDescent="0.25">
      <c r="A44" s="216"/>
      <c r="B44" s="212"/>
      <c r="C44" s="212"/>
      <c r="D44" s="212"/>
      <c r="E44" s="212"/>
      <c r="F44" s="117"/>
      <c r="G44" s="117"/>
      <c r="H44" s="437"/>
      <c r="I44" s="437"/>
      <c r="J44" s="437"/>
      <c r="K44" s="437"/>
    </row>
    <row r="45" spans="1:11" x14ac:dyDescent="0.25">
      <c r="A45" s="216"/>
      <c r="B45" s="212"/>
      <c r="C45" s="213"/>
      <c r="D45" s="213"/>
      <c r="E45" s="213"/>
      <c r="F45" s="117"/>
      <c r="G45" s="117"/>
      <c r="H45" s="117"/>
      <c r="I45" s="86"/>
      <c r="J45" s="86"/>
      <c r="K45" s="86"/>
    </row>
    <row r="46" spans="1:11" x14ac:dyDescent="0.25">
      <c r="A46" s="117"/>
      <c r="B46" s="212"/>
      <c r="C46" s="115"/>
      <c r="D46" s="115"/>
      <c r="E46" s="115"/>
      <c r="F46" s="115"/>
      <c r="G46" s="115"/>
      <c r="H46" s="115"/>
    </row>
  </sheetData>
  <mergeCells count="48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H44:K44"/>
    <mergeCell ref="H41:K41"/>
    <mergeCell ref="A42:B43"/>
    <mergeCell ref="H43:K43"/>
    <mergeCell ref="H37:K37"/>
    <mergeCell ref="A38:G38"/>
    <mergeCell ref="H38:K38"/>
    <mergeCell ref="A39:G39"/>
    <mergeCell ref="H39:K39"/>
    <mergeCell ref="H40:K40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topLeftCell="A4" workbookViewId="0">
      <selection activeCell="A5" sqref="A5:I5"/>
    </sheetView>
  </sheetViews>
  <sheetFormatPr baseColWidth="10" defaultRowHeight="15" x14ac:dyDescent="0.25"/>
  <cols>
    <col min="1" max="1" width="5.5703125" style="228" customWidth="1"/>
    <col min="2" max="2" width="6" style="228" customWidth="1"/>
    <col min="3" max="3" width="7.28515625" style="228" customWidth="1"/>
    <col min="4" max="5" width="5.42578125" style="228" customWidth="1"/>
    <col min="6" max="6" width="7.7109375" style="228" customWidth="1"/>
    <col min="7" max="7" width="6.85546875" style="228" customWidth="1"/>
    <col min="8" max="8" width="12.85546875" style="228" customWidth="1"/>
    <col min="9" max="9" width="14.28515625" style="228" customWidth="1"/>
    <col min="10" max="10" width="6" style="228" customWidth="1"/>
    <col min="11" max="11" width="9.855468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155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234"/>
      <c r="C10" s="235"/>
      <c r="D10" s="233" t="s">
        <v>6</v>
      </c>
      <c r="E10" s="234"/>
      <c r="F10" s="235"/>
      <c r="G10" s="233" t="s">
        <v>7</v>
      </c>
      <c r="H10" s="235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25</v>
      </c>
      <c r="B12" s="10">
        <v>6</v>
      </c>
      <c r="C12" s="138" t="s">
        <v>320</v>
      </c>
      <c r="D12" s="19">
        <v>25</v>
      </c>
      <c r="E12" s="10">
        <v>6</v>
      </c>
      <c r="F12" s="138" t="s">
        <v>213</v>
      </c>
      <c r="G12" s="12">
        <v>0.5</v>
      </c>
      <c r="H12" s="272">
        <v>84366</v>
      </c>
      <c r="I12" s="14">
        <v>42183</v>
      </c>
      <c r="J12" s="448"/>
      <c r="K12" s="449"/>
    </row>
    <row r="13" spans="1:11" x14ac:dyDescent="0.25">
      <c r="A13" s="9">
        <v>30</v>
      </c>
      <c r="B13" s="10">
        <v>6</v>
      </c>
      <c r="C13" s="138" t="s">
        <v>245</v>
      </c>
      <c r="D13" s="19">
        <v>30</v>
      </c>
      <c r="E13" s="10">
        <v>6</v>
      </c>
      <c r="F13" s="138" t="s">
        <v>86</v>
      </c>
      <c r="G13" s="12">
        <v>0.5</v>
      </c>
      <c r="H13" s="272">
        <v>84366</v>
      </c>
      <c r="I13" s="14">
        <v>42183</v>
      </c>
      <c r="J13" s="448"/>
      <c r="K13" s="449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448"/>
      <c r="K14" s="449"/>
    </row>
    <row r="15" spans="1:11" x14ac:dyDescent="0.25">
      <c r="A15" s="9"/>
      <c r="B15" s="10"/>
      <c r="C15" s="138"/>
      <c r="D15" s="19"/>
      <c r="E15" s="10"/>
      <c r="F15" s="138"/>
      <c r="G15" s="12"/>
      <c r="H15" s="13"/>
      <c r="I15" s="14"/>
      <c r="J15" s="448"/>
      <c r="K15" s="449"/>
    </row>
    <row r="16" spans="1:11" x14ac:dyDescent="0.25">
      <c r="A16" s="9"/>
      <c r="B16" s="10"/>
      <c r="C16" s="138"/>
      <c r="D16" s="18"/>
      <c r="E16" s="10"/>
      <c r="F16" s="138"/>
      <c r="G16" s="12"/>
      <c r="H16" s="13"/>
      <c r="I16" s="14"/>
      <c r="J16" s="448"/>
      <c r="K16" s="449"/>
    </row>
    <row r="17" spans="1:11" x14ac:dyDescent="0.25">
      <c r="A17" s="9"/>
      <c r="B17" s="10"/>
      <c r="C17" s="138"/>
      <c r="D17" s="19"/>
      <c r="E17" s="10"/>
      <c r="F17" s="138"/>
      <c r="G17" s="12"/>
      <c r="H17" s="13"/>
      <c r="I17" s="14"/>
      <c r="J17" s="448"/>
      <c r="K17" s="449"/>
    </row>
    <row r="18" spans="1:11" x14ac:dyDescent="0.25">
      <c r="A18" s="9"/>
      <c r="B18" s="10"/>
      <c r="C18" s="138"/>
      <c r="D18" s="9"/>
      <c r="E18" s="10"/>
      <c r="F18" s="138"/>
      <c r="G18" s="12"/>
      <c r="H18" s="13"/>
      <c r="I18" s="14"/>
      <c r="J18" s="448"/>
      <c r="K18" s="449"/>
    </row>
    <row r="19" spans="1:11" x14ac:dyDescent="0.25">
      <c r="A19" s="9"/>
      <c r="B19" s="10"/>
      <c r="C19" s="138"/>
      <c r="D19" s="19"/>
      <c r="E19" s="10"/>
      <c r="F19" s="138"/>
      <c r="G19" s="12"/>
      <c r="H19" s="13"/>
      <c r="I19" s="14"/>
      <c r="J19" s="448"/>
      <c r="K19" s="449"/>
    </row>
    <row r="20" spans="1:11" x14ac:dyDescent="0.25">
      <c r="A20" s="23"/>
      <c r="B20" s="10"/>
      <c r="C20" s="138"/>
      <c r="D20" s="9"/>
      <c r="E20" s="10"/>
      <c r="F20" s="138"/>
      <c r="G20" s="12"/>
      <c r="H20" s="13"/>
      <c r="I20" s="14"/>
      <c r="J20" s="448"/>
      <c r="K20" s="449"/>
    </row>
    <row r="21" spans="1:11" x14ac:dyDescent="0.25">
      <c r="A21" s="9"/>
      <c r="B21" s="10"/>
      <c r="C21" s="138"/>
      <c r="D21" s="9"/>
      <c r="E21" s="10"/>
      <c r="F21" s="138"/>
      <c r="G21" s="12"/>
      <c r="H21" s="13"/>
      <c r="I21" s="14"/>
      <c r="J21" s="448"/>
      <c r="K21" s="449"/>
    </row>
    <row r="22" spans="1:11" x14ac:dyDescent="0.25">
      <c r="A22" s="9"/>
      <c r="B22" s="10"/>
      <c r="C22" s="138"/>
      <c r="D22" s="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1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23"/>
      <c r="E26" s="10"/>
      <c r="F26" s="138"/>
      <c r="G26" s="12"/>
      <c r="H26" s="13"/>
      <c r="I26" s="14"/>
      <c r="J26" s="448"/>
      <c r="K26" s="449"/>
    </row>
    <row r="27" spans="1:11" x14ac:dyDescent="0.25">
      <c r="A27" s="9"/>
      <c r="B27" s="10"/>
      <c r="C27" s="138"/>
      <c r="D27" s="9"/>
      <c r="E27" s="10"/>
      <c r="F27" s="138"/>
      <c r="G27" s="12"/>
      <c r="H27" s="13"/>
      <c r="I27" s="14"/>
      <c r="J27" s="448"/>
      <c r="K27" s="449"/>
    </row>
    <row r="28" spans="1:11" x14ac:dyDescent="0.25">
      <c r="A28" s="9"/>
      <c r="B28" s="10"/>
      <c r="C28" s="138"/>
      <c r="D28" s="9"/>
      <c r="E28" s="10"/>
      <c r="F28" s="138"/>
      <c r="G28" s="12"/>
      <c r="H28" s="13"/>
      <c r="I28" s="14"/>
      <c r="J28" s="448"/>
      <c r="K28" s="449"/>
    </row>
    <row r="29" spans="1:11" x14ac:dyDescent="0.25">
      <c r="A29" s="29"/>
      <c r="B29" s="29"/>
      <c r="C29" s="30"/>
      <c r="D29" s="29"/>
      <c r="E29" s="29"/>
      <c r="F29" s="30"/>
      <c r="G29" s="12"/>
      <c r="H29" s="13"/>
      <c r="I29" s="1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241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241"/>
      <c r="J32" s="448"/>
      <c r="K32" s="449"/>
    </row>
    <row r="33" spans="1:11" x14ac:dyDescent="0.25">
      <c r="A33" s="456"/>
      <c r="B33" s="456"/>
      <c r="C33" s="456"/>
      <c r="D33" s="456"/>
      <c r="E33" s="236"/>
      <c r="F33" s="236"/>
      <c r="G33" s="236"/>
      <c r="H33" s="108" t="s">
        <v>47</v>
      </c>
      <c r="I33" s="109">
        <f>SUM(I12:I32)</f>
        <v>84366</v>
      </c>
      <c r="J33" s="457"/>
      <c r="K33" s="457"/>
    </row>
    <row r="34" spans="1:11" x14ac:dyDescent="0.25">
      <c r="A34" s="456"/>
      <c r="B34" s="456"/>
      <c r="C34" s="456"/>
      <c r="D34" s="456"/>
      <c r="E34" s="236"/>
      <c r="F34" s="236"/>
      <c r="G34" s="236"/>
      <c r="H34" s="236"/>
      <c r="I34" s="110"/>
      <c r="J34" s="110"/>
      <c r="K34" s="110"/>
    </row>
    <row r="35" spans="1:11" x14ac:dyDescent="0.25">
      <c r="A35" s="111" t="s">
        <v>412</v>
      </c>
      <c r="B35" s="112"/>
      <c r="C35" s="112"/>
      <c r="D35" s="112"/>
      <c r="E35" s="113"/>
      <c r="F35" s="113"/>
      <c r="G35" s="113"/>
      <c r="H35" s="113"/>
      <c r="I35" s="110"/>
      <c r="J35" s="110"/>
      <c r="K35" s="236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236"/>
    </row>
    <row r="37" spans="1:11" x14ac:dyDescent="0.25">
      <c r="A37" s="114"/>
      <c r="B37" s="114"/>
      <c r="C37" s="114"/>
      <c r="D37" s="114"/>
      <c r="E37" s="114"/>
      <c r="F37" s="114"/>
      <c r="G37" s="114"/>
      <c r="H37" s="390" t="s">
        <v>61</v>
      </c>
      <c r="I37" s="390"/>
      <c r="J37" s="390"/>
      <c r="K37" s="390"/>
    </row>
    <row r="38" spans="1:11" x14ac:dyDescent="0.25">
      <c r="A38" s="459" t="s">
        <v>39</v>
      </c>
      <c r="B38" s="459"/>
      <c r="C38" s="459"/>
      <c r="D38" s="459"/>
      <c r="E38" s="459"/>
      <c r="F38" s="459"/>
      <c r="G38" s="459"/>
      <c r="H38" s="437" t="s">
        <v>38</v>
      </c>
      <c r="I38" s="437"/>
      <c r="J38" s="437"/>
      <c r="K38" s="437"/>
    </row>
    <row r="39" spans="1:11" x14ac:dyDescent="0.25">
      <c r="A39" s="460" t="s">
        <v>404</v>
      </c>
      <c r="B39" s="460"/>
      <c r="C39" s="460"/>
      <c r="D39" s="460"/>
      <c r="E39" s="460"/>
      <c r="F39" s="460"/>
      <c r="G39" s="460"/>
      <c r="H39" s="437"/>
      <c r="I39" s="437"/>
      <c r="J39" s="437"/>
      <c r="K39" s="437"/>
    </row>
    <row r="40" spans="1:11" x14ac:dyDescent="0.25">
      <c r="A40" s="86"/>
      <c r="B40" s="86"/>
      <c r="C40" s="86"/>
      <c r="D40" s="86"/>
      <c r="E40" s="86"/>
      <c r="F40" s="86"/>
      <c r="G40" s="86"/>
      <c r="H40" s="389" t="s">
        <v>61</v>
      </c>
      <c r="I40" s="389"/>
      <c r="J40" s="389"/>
      <c r="K40" s="389"/>
    </row>
    <row r="41" spans="1:11" x14ac:dyDescent="0.25">
      <c r="A41" s="86"/>
      <c r="B41" s="86"/>
      <c r="C41" s="86"/>
      <c r="D41" s="86"/>
      <c r="E41" s="86"/>
      <c r="F41" s="86"/>
      <c r="G41" s="86"/>
      <c r="H41" s="437" t="s">
        <v>40</v>
      </c>
      <c r="I41" s="437"/>
      <c r="J41" s="437"/>
      <c r="K41" s="437"/>
    </row>
    <row r="42" spans="1:11" x14ac:dyDescent="0.25">
      <c r="A42" s="458"/>
      <c r="B42" s="458"/>
      <c r="C42" s="236"/>
      <c r="D42" s="236"/>
      <c r="E42" s="236"/>
      <c r="F42" s="236"/>
      <c r="G42" s="236"/>
      <c r="H42" s="236"/>
      <c r="I42" s="86"/>
      <c r="J42" s="236"/>
    </row>
    <row r="43" spans="1:11" x14ac:dyDescent="0.25">
      <c r="A43" s="458"/>
      <c r="B43" s="458"/>
      <c r="C43" s="236"/>
      <c r="D43" s="236"/>
      <c r="E43" s="236"/>
      <c r="F43" s="236"/>
      <c r="G43" s="236"/>
      <c r="H43" s="390"/>
      <c r="I43" s="390"/>
      <c r="J43" s="390"/>
      <c r="K43" s="390"/>
    </row>
    <row r="44" spans="1:11" x14ac:dyDescent="0.25">
      <c r="A44" s="239"/>
      <c r="B44" s="237"/>
      <c r="C44" s="237"/>
      <c r="D44" s="237"/>
      <c r="E44" s="237"/>
      <c r="F44" s="117"/>
      <c r="G44" s="117"/>
      <c r="H44" s="437"/>
      <c r="I44" s="437"/>
      <c r="J44" s="437"/>
      <c r="K44" s="437"/>
    </row>
    <row r="45" spans="1:11" x14ac:dyDescent="0.25">
      <c r="A45" s="239"/>
      <c r="B45" s="237"/>
      <c r="C45" s="236"/>
      <c r="D45" s="236"/>
      <c r="E45" s="236"/>
      <c r="F45" s="117"/>
      <c r="G45" s="117"/>
      <c r="H45" s="117"/>
      <c r="I45" s="86"/>
      <c r="J45" s="86"/>
      <c r="K45" s="86"/>
    </row>
    <row r="46" spans="1:11" x14ac:dyDescent="0.25">
      <c r="A46" s="117"/>
      <c r="B46" s="237"/>
      <c r="C46" s="115"/>
      <c r="D46" s="115"/>
      <c r="E46" s="115"/>
      <c r="F46" s="115"/>
      <c r="G46" s="115"/>
      <c r="H46" s="115"/>
    </row>
  </sheetData>
  <mergeCells count="48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H41:K41"/>
    <mergeCell ref="A42:B43"/>
    <mergeCell ref="H43:K43"/>
    <mergeCell ref="H44:K44"/>
    <mergeCell ref="H37:K37"/>
    <mergeCell ref="A38:G38"/>
    <mergeCell ref="H38:K38"/>
    <mergeCell ref="A39:G39"/>
    <mergeCell ref="H39:K39"/>
    <mergeCell ref="H40:K40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5"/>
  <sheetViews>
    <sheetView workbookViewId="0">
      <selection activeCell="B34" sqref="A34:XFD34"/>
    </sheetView>
  </sheetViews>
  <sheetFormatPr baseColWidth="10" defaultRowHeight="15" x14ac:dyDescent="0.25"/>
  <cols>
    <col min="1" max="1" width="5.5703125" style="228" customWidth="1"/>
    <col min="2" max="2" width="6" style="228" customWidth="1"/>
    <col min="3" max="3" width="7.28515625" style="228" customWidth="1"/>
    <col min="4" max="5" width="5.42578125" style="228" customWidth="1"/>
    <col min="6" max="6" width="7.7109375" style="228" customWidth="1"/>
    <col min="7" max="7" width="6.85546875" style="228" customWidth="1"/>
    <col min="8" max="8" width="12.85546875" style="228" customWidth="1"/>
    <col min="9" max="9" width="14.28515625" style="228" customWidth="1"/>
    <col min="10" max="10" width="6" style="228" customWidth="1"/>
    <col min="11" max="11" width="9.855468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145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234"/>
      <c r="C10" s="235"/>
      <c r="D10" s="233" t="s">
        <v>6</v>
      </c>
      <c r="E10" s="234"/>
      <c r="F10" s="235"/>
      <c r="G10" s="233" t="s">
        <v>7</v>
      </c>
      <c r="H10" s="235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6</v>
      </c>
      <c r="B12" s="10">
        <v>6</v>
      </c>
      <c r="C12" s="138" t="s">
        <v>325</v>
      </c>
      <c r="D12" s="19">
        <v>6</v>
      </c>
      <c r="E12" s="10">
        <v>6</v>
      </c>
      <c r="F12" s="138" t="s">
        <v>75</v>
      </c>
      <c r="G12" s="12">
        <v>0.5</v>
      </c>
      <c r="H12" s="272">
        <v>84366</v>
      </c>
      <c r="I12" s="14">
        <v>42183</v>
      </c>
      <c r="J12" s="448"/>
      <c r="K12" s="449"/>
    </row>
    <row r="13" spans="1:11" x14ac:dyDescent="0.25">
      <c r="A13" s="9">
        <v>6</v>
      </c>
      <c r="B13" s="10">
        <v>6</v>
      </c>
      <c r="C13" s="138" t="s">
        <v>86</v>
      </c>
      <c r="D13" s="9">
        <v>6</v>
      </c>
      <c r="E13" s="10">
        <v>6</v>
      </c>
      <c r="F13" s="138" t="s">
        <v>224</v>
      </c>
      <c r="G13" s="12">
        <v>0.5</v>
      </c>
      <c r="H13" s="272">
        <v>84366</v>
      </c>
      <c r="I13" s="14">
        <v>42183</v>
      </c>
      <c r="J13" s="448"/>
      <c r="K13" s="449"/>
    </row>
    <row r="14" spans="1:11" x14ac:dyDescent="0.25">
      <c r="A14" s="9">
        <v>13</v>
      </c>
      <c r="B14" s="10">
        <v>6</v>
      </c>
      <c r="C14" s="138" t="s">
        <v>348</v>
      </c>
      <c r="D14" s="19">
        <v>13</v>
      </c>
      <c r="E14" s="10">
        <v>6</v>
      </c>
      <c r="F14" s="138" t="s">
        <v>74</v>
      </c>
      <c r="G14" s="12">
        <v>0.5</v>
      </c>
      <c r="H14" s="272">
        <v>84366</v>
      </c>
      <c r="I14" s="14">
        <v>42183</v>
      </c>
      <c r="J14" s="448"/>
      <c r="K14" s="449"/>
    </row>
    <row r="15" spans="1:11" x14ac:dyDescent="0.25">
      <c r="A15" s="9">
        <v>17</v>
      </c>
      <c r="B15" s="10">
        <v>6</v>
      </c>
      <c r="C15" s="138" t="s">
        <v>189</v>
      </c>
      <c r="D15" s="19">
        <v>17</v>
      </c>
      <c r="E15" s="10">
        <v>6</v>
      </c>
      <c r="F15" s="138" t="s">
        <v>275</v>
      </c>
      <c r="G15" s="12">
        <v>0.5</v>
      </c>
      <c r="H15" s="272">
        <v>84366</v>
      </c>
      <c r="I15" s="14">
        <v>42183</v>
      </c>
      <c r="J15" s="448"/>
      <c r="K15" s="449"/>
    </row>
    <row r="16" spans="1:11" x14ac:dyDescent="0.25">
      <c r="A16" s="9">
        <v>20</v>
      </c>
      <c r="B16" s="10">
        <v>6</v>
      </c>
      <c r="C16" s="138" t="s">
        <v>119</v>
      </c>
      <c r="D16" s="9">
        <v>21</v>
      </c>
      <c r="E16" s="10">
        <v>6</v>
      </c>
      <c r="F16" s="138" t="s">
        <v>361</v>
      </c>
      <c r="G16" s="12">
        <v>0.5</v>
      </c>
      <c r="H16" s="272">
        <v>84366</v>
      </c>
      <c r="I16" s="14">
        <v>42183</v>
      </c>
      <c r="J16" s="448"/>
      <c r="K16" s="449"/>
    </row>
    <row r="17" spans="1:11" x14ac:dyDescent="0.25">
      <c r="A17" s="9">
        <v>23</v>
      </c>
      <c r="B17" s="10">
        <v>6</v>
      </c>
      <c r="C17" s="138" t="s">
        <v>213</v>
      </c>
      <c r="D17" s="19">
        <v>23</v>
      </c>
      <c r="E17" s="10">
        <v>6</v>
      </c>
      <c r="F17" s="138" t="s">
        <v>289</v>
      </c>
      <c r="G17" s="12">
        <v>0.5</v>
      </c>
      <c r="H17" s="272">
        <v>84366</v>
      </c>
      <c r="I17" s="14">
        <v>42183</v>
      </c>
      <c r="J17" s="448"/>
      <c r="K17" s="449"/>
    </row>
    <row r="18" spans="1:11" x14ac:dyDescent="0.25">
      <c r="A18" s="9">
        <v>27</v>
      </c>
      <c r="B18" s="10">
        <v>6</v>
      </c>
      <c r="C18" s="138" t="s">
        <v>391</v>
      </c>
      <c r="D18" s="19">
        <v>27</v>
      </c>
      <c r="E18" s="10">
        <v>6</v>
      </c>
      <c r="F18" s="138" t="s">
        <v>276</v>
      </c>
      <c r="G18" s="12">
        <v>0.5</v>
      </c>
      <c r="H18" s="272">
        <v>84366</v>
      </c>
      <c r="I18" s="14">
        <v>42183</v>
      </c>
      <c r="J18" s="448"/>
      <c r="K18" s="449"/>
    </row>
    <row r="19" spans="1:11" x14ac:dyDescent="0.25">
      <c r="A19" s="9">
        <v>29</v>
      </c>
      <c r="B19" s="10">
        <v>6</v>
      </c>
      <c r="C19" s="138" t="s">
        <v>361</v>
      </c>
      <c r="D19" s="351">
        <v>29</v>
      </c>
      <c r="E19" s="10">
        <v>6</v>
      </c>
      <c r="F19" s="138" t="s">
        <v>213</v>
      </c>
      <c r="G19" s="12">
        <v>0.5</v>
      </c>
      <c r="H19" s="272">
        <v>84366</v>
      </c>
      <c r="I19" s="14">
        <v>42183</v>
      </c>
      <c r="J19" s="448"/>
      <c r="K19" s="449"/>
    </row>
    <row r="20" spans="1:11" x14ac:dyDescent="0.25">
      <c r="A20" s="9">
        <v>30</v>
      </c>
      <c r="B20" s="10">
        <v>6</v>
      </c>
      <c r="C20" s="138" t="s">
        <v>395</v>
      </c>
      <c r="D20" s="19">
        <v>30</v>
      </c>
      <c r="E20" s="10">
        <v>6</v>
      </c>
      <c r="F20" s="138" t="s">
        <v>246</v>
      </c>
      <c r="G20" s="12">
        <v>0.5</v>
      </c>
      <c r="H20" s="272">
        <v>84366</v>
      </c>
      <c r="I20" s="14">
        <v>42183</v>
      </c>
      <c r="J20" s="448"/>
      <c r="K20" s="449"/>
    </row>
    <row r="21" spans="1:11" x14ac:dyDescent="0.25">
      <c r="A21" s="9"/>
      <c r="B21" s="10"/>
      <c r="C21" s="138"/>
      <c r="D21" s="19"/>
      <c r="E21" s="10"/>
      <c r="F21" s="138"/>
      <c r="G21" s="12"/>
      <c r="H21" s="272"/>
      <c r="I21" s="14"/>
      <c r="J21" s="448"/>
      <c r="K21" s="449"/>
    </row>
    <row r="22" spans="1:11" x14ac:dyDescent="0.25">
      <c r="A22" s="9"/>
      <c r="B22" s="10"/>
      <c r="C22" s="138"/>
      <c r="D22" s="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1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23"/>
      <c r="E26" s="10"/>
      <c r="F26" s="138"/>
      <c r="G26" s="12"/>
      <c r="H26" s="13"/>
      <c r="I26" s="14"/>
      <c r="J26" s="448"/>
      <c r="K26" s="449"/>
    </row>
    <row r="27" spans="1:11" x14ac:dyDescent="0.25">
      <c r="A27" s="9"/>
      <c r="B27" s="10"/>
      <c r="C27" s="138"/>
      <c r="D27" s="9"/>
      <c r="E27" s="10"/>
      <c r="F27" s="138"/>
      <c r="G27" s="12"/>
      <c r="H27" s="13"/>
      <c r="I27" s="14"/>
      <c r="J27" s="448"/>
      <c r="K27" s="449"/>
    </row>
    <row r="28" spans="1:11" x14ac:dyDescent="0.25">
      <c r="A28" s="9"/>
      <c r="B28" s="10"/>
      <c r="C28" s="138"/>
      <c r="D28" s="9"/>
      <c r="E28" s="10"/>
      <c r="F28" s="138"/>
      <c r="G28" s="12"/>
      <c r="H28" s="13"/>
      <c r="I28" s="14"/>
      <c r="J28" s="448"/>
      <c r="K28" s="449"/>
    </row>
    <row r="29" spans="1:11" x14ac:dyDescent="0.25">
      <c r="A29" s="29"/>
      <c r="B29" s="29"/>
      <c r="C29" s="30"/>
      <c r="D29" s="29"/>
      <c r="E29" s="29"/>
      <c r="F29" s="30"/>
      <c r="G29" s="12"/>
      <c r="H29" s="13"/>
      <c r="I29" s="1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6"/>
      <c r="B31" s="106"/>
      <c r="C31" s="106"/>
      <c r="D31" s="106"/>
      <c r="E31" s="106"/>
      <c r="F31" s="106"/>
      <c r="G31" s="106"/>
      <c r="H31" s="107"/>
      <c r="I31" s="241"/>
      <c r="J31" s="448"/>
      <c r="K31" s="449"/>
    </row>
    <row r="32" spans="1:11" x14ac:dyDescent="0.25">
      <c r="A32" s="456"/>
      <c r="B32" s="456"/>
      <c r="C32" s="456"/>
      <c r="D32" s="456"/>
      <c r="E32" s="236"/>
      <c r="F32" s="236"/>
      <c r="G32" s="236"/>
      <c r="H32" s="108" t="s">
        <v>47</v>
      </c>
      <c r="I32" s="109">
        <f>SUM(I12:I31)</f>
        <v>379647</v>
      </c>
      <c r="J32" s="457"/>
      <c r="K32" s="457"/>
    </row>
    <row r="33" spans="1:11" x14ac:dyDescent="0.25">
      <c r="A33" s="456"/>
      <c r="B33" s="456"/>
      <c r="C33" s="456"/>
      <c r="D33" s="456"/>
      <c r="E33" s="236"/>
      <c r="F33" s="236"/>
      <c r="G33" s="236"/>
      <c r="H33" s="236"/>
      <c r="I33" s="110"/>
      <c r="J33" s="110"/>
      <c r="K33" s="110"/>
    </row>
    <row r="34" spans="1:11" x14ac:dyDescent="0.25">
      <c r="A34" s="111" t="s">
        <v>435</v>
      </c>
      <c r="B34" s="112"/>
      <c r="C34" s="112"/>
      <c r="D34" s="112"/>
      <c r="E34" s="113"/>
      <c r="F34" s="113"/>
      <c r="G34" s="113"/>
      <c r="H34" s="113"/>
      <c r="I34" s="110"/>
      <c r="J34" s="110"/>
      <c r="K34" s="236"/>
    </row>
    <row r="35" spans="1:11" x14ac:dyDescent="0.25">
      <c r="A35" s="114"/>
      <c r="B35" s="114"/>
      <c r="C35" s="114"/>
      <c r="D35" s="114"/>
      <c r="E35" s="114"/>
      <c r="F35" s="114"/>
      <c r="G35" s="114"/>
      <c r="H35" s="114"/>
      <c r="I35" s="115"/>
      <c r="J35" s="110"/>
      <c r="K35" s="236"/>
    </row>
    <row r="36" spans="1:11" x14ac:dyDescent="0.25">
      <c r="A36" s="114"/>
      <c r="B36" s="114"/>
      <c r="C36" s="114"/>
      <c r="D36" s="114"/>
      <c r="E36" s="114"/>
      <c r="F36" s="114"/>
      <c r="G36" s="114"/>
      <c r="H36" s="390" t="s">
        <v>61</v>
      </c>
      <c r="I36" s="390"/>
      <c r="J36" s="390"/>
      <c r="K36" s="390"/>
    </row>
    <row r="37" spans="1:11" x14ac:dyDescent="0.25">
      <c r="A37" s="459" t="s">
        <v>39</v>
      </c>
      <c r="B37" s="459"/>
      <c r="C37" s="459"/>
      <c r="D37" s="459"/>
      <c r="E37" s="459"/>
      <c r="F37" s="459"/>
      <c r="G37" s="459"/>
      <c r="H37" s="437" t="s">
        <v>38</v>
      </c>
      <c r="I37" s="437"/>
      <c r="J37" s="437"/>
      <c r="K37" s="437"/>
    </row>
    <row r="38" spans="1:11" x14ac:dyDescent="0.25">
      <c r="A38" s="460" t="s">
        <v>404</v>
      </c>
      <c r="B38" s="460"/>
      <c r="C38" s="460"/>
      <c r="D38" s="460"/>
      <c r="E38" s="460"/>
      <c r="F38" s="460"/>
      <c r="G38" s="460"/>
      <c r="H38" s="437"/>
      <c r="I38" s="437"/>
      <c r="J38" s="437"/>
      <c r="K38" s="437"/>
    </row>
    <row r="39" spans="1:11" x14ac:dyDescent="0.25">
      <c r="A39" s="86"/>
      <c r="B39" s="86"/>
      <c r="C39" s="86"/>
      <c r="D39" s="86"/>
      <c r="E39" s="86"/>
      <c r="F39" s="86"/>
      <c r="G39" s="86"/>
      <c r="H39" s="389" t="s">
        <v>61</v>
      </c>
      <c r="I39" s="389"/>
      <c r="J39" s="389"/>
      <c r="K39" s="389"/>
    </row>
    <row r="40" spans="1:11" x14ac:dyDescent="0.25">
      <c r="A40" s="86"/>
      <c r="B40" s="86"/>
      <c r="C40" s="86"/>
      <c r="D40" s="86"/>
      <c r="E40" s="86"/>
      <c r="F40" s="86"/>
      <c r="G40" s="86"/>
      <c r="H40" s="437" t="s">
        <v>40</v>
      </c>
      <c r="I40" s="437"/>
      <c r="J40" s="437"/>
      <c r="K40" s="437"/>
    </row>
    <row r="41" spans="1:11" x14ac:dyDescent="0.25">
      <c r="A41" s="458"/>
      <c r="B41" s="458"/>
      <c r="C41" s="236"/>
      <c r="D41" s="236"/>
      <c r="E41" s="236"/>
      <c r="F41" s="236"/>
      <c r="G41" s="236"/>
      <c r="H41" s="236"/>
      <c r="I41" s="86"/>
      <c r="J41" s="236"/>
    </row>
    <row r="42" spans="1:11" x14ac:dyDescent="0.25">
      <c r="A42" s="458"/>
      <c r="B42" s="458"/>
      <c r="C42" s="236"/>
      <c r="D42" s="236"/>
      <c r="E42" s="236"/>
      <c r="F42" s="236"/>
      <c r="G42" s="236"/>
      <c r="H42" s="390"/>
      <c r="I42" s="390"/>
      <c r="J42" s="390"/>
      <c r="K42" s="390"/>
    </row>
    <row r="43" spans="1:11" x14ac:dyDescent="0.25">
      <c r="A43" s="239"/>
      <c r="B43" s="237"/>
      <c r="C43" s="237"/>
      <c r="D43" s="237"/>
      <c r="E43" s="237"/>
      <c r="F43" s="117"/>
      <c r="G43" s="117"/>
      <c r="H43" s="437"/>
      <c r="I43" s="437"/>
      <c r="J43" s="437"/>
      <c r="K43" s="437"/>
    </row>
    <row r="44" spans="1:11" x14ac:dyDescent="0.25">
      <c r="A44" s="239"/>
      <c r="B44" s="237"/>
      <c r="C44" s="236"/>
      <c r="D44" s="236"/>
      <c r="E44" s="236"/>
      <c r="F44" s="117"/>
      <c r="G44" s="117"/>
      <c r="H44" s="117"/>
      <c r="I44" s="86"/>
      <c r="J44" s="86"/>
      <c r="K44" s="86"/>
    </row>
    <row r="45" spans="1:11" x14ac:dyDescent="0.25">
      <c r="A45" s="117"/>
      <c r="B45" s="237"/>
      <c r="C45" s="115"/>
      <c r="D45" s="115"/>
      <c r="E45" s="115"/>
      <c r="F45" s="115"/>
      <c r="G45" s="115"/>
      <c r="H45" s="115"/>
    </row>
  </sheetData>
  <mergeCells count="47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3:B33"/>
    <mergeCell ref="C33:D33"/>
    <mergeCell ref="J25:K25"/>
    <mergeCell ref="J26:K26"/>
    <mergeCell ref="J27:K27"/>
    <mergeCell ref="J28:K28"/>
    <mergeCell ref="J29:K29"/>
    <mergeCell ref="J30:K30"/>
    <mergeCell ref="J31:K31"/>
    <mergeCell ref="A32:B32"/>
    <mergeCell ref="C32:D32"/>
    <mergeCell ref="J32:K32"/>
    <mergeCell ref="H40:K40"/>
    <mergeCell ref="A41:B42"/>
    <mergeCell ref="H42:K42"/>
    <mergeCell ref="H43:K43"/>
    <mergeCell ref="H36:K36"/>
    <mergeCell ref="A37:G37"/>
    <mergeCell ref="H37:K37"/>
    <mergeCell ref="A38:G38"/>
    <mergeCell ref="H38:K38"/>
    <mergeCell ref="H39:K39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topLeftCell="A22" workbookViewId="0">
      <selection activeCell="P29" sqref="P29"/>
    </sheetView>
  </sheetViews>
  <sheetFormatPr baseColWidth="10" defaultRowHeight="15" x14ac:dyDescent="0.25"/>
  <cols>
    <col min="1" max="1" width="5.5703125" customWidth="1"/>
    <col min="2" max="2" width="6" customWidth="1"/>
    <col min="3" max="3" width="7.28515625" customWidth="1"/>
    <col min="4" max="5" width="5.42578125" customWidth="1"/>
    <col min="6" max="6" width="7.7109375" customWidth="1"/>
    <col min="7" max="7" width="6.85546875" customWidth="1"/>
    <col min="8" max="8" width="12.85546875" customWidth="1"/>
    <col min="9" max="9" width="14.28515625" customWidth="1"/>
    <col min="10" max="10" width="6" customWidth="1"/>
    <col min="11" max="11" width="9.85546875" customWidth="1"/>
  </cols>
  <sheetData>
    <row r="1" spans="1:11" ht="1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153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208"/>
      <c r="C10" s="209"/>
      <c r="D10" s="207" t="s">
        <v>6</v>
      </c>
      <c r="E10" s="208"/>
      <c r="F10" s="209"/>
      <c r="G10" s="207" t="s">
        <v>7</v>
      </c>
      <c r="H10" s="209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18">
        <v>2</v>
      </c>
      <c r="B12" s="10">
        <v>6</v>
      </c>
      <c r="C12" s="138" t="s">
        <v>275</v>
      </c>
      <c r="D12" s="19">
        <v>3</v>
      </c>
      <c r="E12" s="10">
        <v>6</v>
      </c>
      <c r="F12" s="138" t="s">
        <v>318</v>
      </c>
      <c r="G12" s="12">
        <v>0.5</v>
      </c>
      <c r="H12" s="272">
        <v>84366</v>
      </c>
      <c r="I12" s="14">
        <v>42183</v>
      </c>
      <c r="J12" s="448"/>
      <c r="K12" s="449"/>
    </row>
    <row r="13" spans="1:11" x14ac:dyDescent="0.25">
      <c r="A13" s="9">
        <v>5</v>
      </c>
      <c r="B13" s="10">
        <v>6</v>
      </c>
      <c r="C13" s="138" t="s">
        <v>325</v>
      </c>
      <c r="D13" s="19">
        <v>5</v>
      </c>
      <c r="E13" s="10">
        <v>6</v>
      </c>
      <c r="F13" s="138" t="s">
        <v>326</v>
      </c>
      <c r="G13" s="12">
        <v>0.5</v>
      </c>
      <c r="H13" s="272">
        <v>84366</v>
      </c>
      <c r="I13" s="14">
        <v>42183</v>
      </c>
      <c r="J13" s="448"/>
      <c r="K13" s="449"/>
    </row>
    <row r="14" spans="1:11" x14ac:dyDescent="0.25">
      <c r="A14" s="9">
        <v>7</v>
      </c>
      <c r="B14" s="10">
        <v>6</v>
      </c>
      <c r="C14" s="138" t="s">
        <v>124</v>
      </c>
      <c r="D14" s="9">
        <v>8</v>
      </c>
      <c r="E14" s="10">
        <v>6</v>
      </c>
      <c r="F14" s="138" t="s">
        <v>328</v>
      </c>
      <c r="G14" s="12">
        <v>0.5</v>
      </c>
      <c r="H14" s="272">
        <v>84366</v>
      </c>
      <c r="I14" s="14">
        <v>42183</v>
      </c>
      <c r="J14" s="448"/>
      <c r="K14" s="449"/>
    </row>
    <row r="15" spans="1:11" x14ac:dyDescent="0.25">
      <c r="A15" s="9">
        <v>12</v>
      </c>
      <c r="B15" s="10">
        <v>6</v>
      </c>
      <c r="C15" s="138" t="s">
        <v>187</v>
      </c>
      <c r="D15" s="18">
        <v>12</v>
      </c>
      <c r="E15" s="10">
        <v>6</v>
      </c>
      <c r="F15" s="138" t="s">
        <v>204</v>
      </c>
      <c r="G15" s="12">
        <v>0.5</v>
      </c>
      <c r="H15" s="272">
        <v>84366</v>
      </c>
      <c r="I15" s="14">
        <v>42183</v>
      </c>
      <c r="J15" s="448"/>
      <c r="K15" s="449"/>
    </row>
    <row r="16" spans="1:11" x14ac:dyDescent="0.25">
      <c r="A16" s="9">
        <v>23</v>
      </c>
      <c r="B16" s="10">
        <v>6</v>
      </c>
      <c r="C16" s="138" t="s">
        <v>325</v>
      </c>
      <c r="D16" s="19">
        <v>23</v>
      </c>
      <c r="E16" s="10">
        <v>6</v>
      </c>
      <c r="F16" s="138" t="s">
        <v>286</v>
      </c>
      <c r="G16" s="12">
        <v>0.5</v>
      </c>
      <c r="H16" s="272">
        <v>84366</v>
      </c>
      <c r="I16" s="14">
        <v>42183</v>
      </c>
      <c r="J16" s="448"/>
      <c r="K16" s="449"/>
    </row>
    <row r="17" spans="1:11" x14ac:dyDescent="0.25">
      <c r="A17" s="9">
        <v>26</v>
      </c>
      <c r="B17" s="10">
        <v>6</v>
      </c>
      <c r="C17" s="138" t="s">
        <v>245</v>
      </c>
      <c r="D17" s="19">
        <v>26</v>
      </c>
      <c r="E17" s="10">
        <v>6</v>
      </c>
      <c r="F17" s="138" t="s">
        <v>185</v>
      </c>
      <c r="G17" s="12">
        <v>0.5</v>
      </c>
      <c r="H17" s="272">
        <v>84366</v>
      </c>
      <c r="I17" s="14">
        <v>42183</v>
      </c>
      <c r="J17" s="448"/>
      <c r="K17" s="449"/>
    </row>
    <row r="18" spans="1:11" x14ac:dyDescent="0.25">
      <c r="A18" s="367">
        <v>26</v>
      </c>
      <c r="B18" s="368">
        <v>6</v>
      </c>
      <c r="C18" s="138" t="s">
        <v>384</v>
      </c>
      <c r="D18" s="367">
        <v>26</v>
      </c>
      <c r="E18" s="368">
        <v>6</v>
      </c>
      <c r="F18" s="138" t="s">
        <v>385</v>
      </c>
      <c r="G18" s="12">
        <v>0.5</v>
      </c>
      <c r="H18" s="272">
        <v>84366</v>
      </c>
      <c r="I18" s="14">
        <v>42183</v>
      </c>
      <c r="J18" s="448"/>
      <c r="K18" s="449"/>
    </row>
    <row r="19" spans="1:11" x14ac:dyDescent="0.25">
      <c r="A19" s="9">
        <v>29</v>
      </c>
      <c r="B19" s="10">
        <v>6</v>
      </c>
      <c r="C19" s="138" t="s">
        <v>391</v>
      </c>
      <c r="D19" s="19">
        <v>29</v>
      </c>
      <c r="E19" s="10">
        <v>6</v>
      </c>
      <c r="F19" s="138" t="s">
        <v>276</v>
      </c>
      <c r="G19" s="12">
        <v>0.5</v>
      </c>
      <c r="H19" s="272">
        <v>84366</v>
      </c>
      <c r="I19" s="14">
        <v>42183</v>
      </c>
      <c r="J19" s="448"/>
      <c r="K19" s="449"/>
    </row>
    <row r="20" spans="1:11" x14ac:dyDescent="0.25">
      <c r="A20" s="23"/>
      <c r="B20" s="10"/>
      <c r="C20" s="138"/>
      <c r="D20" s="9"/>
      <c r="E20" s="10"/>
      <c r="F20" s="138"/>
      <c r="G20" s="12"/>
      <c r="H20" s="13"/>
      <c r="I20" s="14"/>
      <c r="J20" s="448"/>
      <c r="K20" s="449"/>
    </row>
    <row r="21" spans="1:11" x14ac:dyDescent="0.25">
      <c r="A21" s="9"/>
      <c r="B21" s="10"/>
      <c r="C21" s="138"/>
      <c r="D21" s="9"/>
      <c r="E21" s="10"/>
      <c r="F21" s="138"/>
      <c r="G21" s="12"/>
      <c r="H21" s="13"/>
      <c r="I21" s="14"/>
      <c r="J21" s="448"/>
      <c r="K21" s="449"/>
    </row>
    <row r="22" spans="1:11" x14ac:dyDescent="0.25">
      <c r="A22" s="9"/>
      <c r="B22" s="10"/>
      <c r="C22" s="138"/>
      <c r="D22" s="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1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23"/>
      <c r="E26" s="10"/>
      <c r="F26" s="138"/>
      <c r="G26" s="12"/>
      <c r="H26" s="13"/>
      <c r="I26" s="14"/>
      <c r="J26" s="448"/>
      <c r="K26" s="449"/>
    </row>
    <row r="27" spans="1:11" x14ac:dyDescent="0.25">
      <c r="A27" s="9"/>
      <c r="B27" s="10"/>
      <c r="C27" s="138"/>
      <c r="D27" s="9"/>
      <c r="E27" s="10"/>
      <c r="F27" s="138"/>
      <c r="G27" s="12"/>
      <c r="H27" s="13"/>
      <c r="I27" s="14"/>
      <c r="J27" s="448"/>
      <c r="K27" s="449"/>
    </row>
    <row r="28" spans="1:11" x14ac:dyDescent="0.25">
      <c r="A28" s="9"/>
      <c r="B28" s="10"/>
      <c r="C28" s="138"/>
      <c r="D28" s="9"/>
      <c r="E28" s="10"/>
      <c r="F28" s="138"/>
      <c r="G28" s="12"/>
      <c r="H28" s="13"/>
      <c r="I28" s="14"/>
      <c r="J28" s="448"/>
      <c r="K28" s="449"/>
    </row>
    <row r="29" spans="1:11" x14ac:dyDescent="0.25">
      <c r="A29" s="29"/>
      <c r="B29" s="29"/>
      <c r="C29" s="30"/>
      <c r="D29" s="29"/>
      <c r="E29" s="29"/>
      <c r="F29" s="30"/>
      <c r="G29" s="12"/>
      <c r="H29" s="13"/>
      <c r="I29" s="1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217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217"/>
      <c r="J32" s="448"/>
      <c r="K32" s="449"/>
    </row>
    <row r="33" spans="1:11" x14ac:dyDescent="0.25">
      <c r="A33" s="456"/>
      <c r="B33" s="456"/>
      <c r="C33" s="456"/>
      <c r="D33" s="456"/>
      <c r="E33" s="213"/>
      <c r="F33" s="213"/>
      <c r="G33" s="213"/>
      <c r="H33" s="108" t="s">
        <v>47</v>
      </c>
      <c r="I33" s="109">
        <f>SUM(I12:I32)</f>
        <v>337464</v>
      </c>
      <c r="J33" s="457"/>
      <c r="K33" s="457"/>
    </row>
    <row r="34" spans="1:11" x14ac:dyDescent="0.25">
      <c r="A34" s="456"/>
      <c r="B34" s="456"/>
      <c r="C34" s="456"/>
      <c r="D34" s="456"/>
      <c r="E34" s="213"/>
      <c r="F34" s="213"/>
      <c r="G34" s="213"/>
      <c r="H34" s="213"/>
      <c r="I34" s="110"/>
      <c r="J34" s="110"/>
      <c r="K34" s="110"/>
    </row>
    <row r="35" spans="1:11" x14ac:dyDescent="0.25">
      <c r="A35" s="111" t="s">
        <v>416</v>
      </c>
      <c r="B35" s="112"/>
      <c r="C35" s="112"/>
      <c r="D35" s="112"/>
      <c r="E35" s="113"/>
      <c r="F35" s="113"/>
      <c r="G35" s="113"/>
      <c r="H35" s="113"/>
      <c r="I35" s="110"/>
      <c r="J35" s="110"/>
      <c r="K35" s="213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213"/>
    </row>
    <row r="37" spans="1:11" x14ac:dyDescent="0.25">
      <c r="A37" s="114"/>
      <c r="B37" s="114"/>
      <c r="C37" s="114"/>
      <c r="D37" s="114"/>
      <c r="E37" s="114"/>
      <c r="F37" s="114"/>
      <c r="G37" s="114"/>
      <c r="H37" s="390" t="s">
        <v>61</v>
      </c>
      <c r="I37" s="390"/>
      <c r="J37" s="390"/>
      <c r="K37" s="390"/>
    </row>
    <row r="38" spans="1:11" x14ac:dyDescent="0.25">
      <c r="A38" s="459" t="s">
        <v>39</v>
      </c>
      <c r="B38" s="459"/>
      <c r="C38" s="459"/>
      <c r="D38" s="459"/>
      <c r="E38" s="459"/>
      <c r="F38" s="459"/>
      <c r="G38" s="459"/>
      <c r="H38" s="437" t="s">
        <v>38</v>
      </c>
      <c r="I38" s="437"/>
      <c r="J38" s="437"/>
      <c r="K38" s="437"/>
    </row>
    <row r="39" spans="1:11" x14ac:dyDescent="0.25">
      <c r="A39" s="460" t="s">
        <v>404</v>
      </c>
      <c r="B39" s="460"/>
      <c r="C39" s="460"/>
      <c r="D39" s="460"/>
      <c r="E39" s="460"/>
      <c r="F39" s="460"/>
      <c r="G39" s="460"/>
      <c r="H39" s="437"/>
      <c r="I39" s="437"/>
      <c r="J39" s="437"/>
      <c r="K39" s="437"/>
    </row>
    <row r="40" spans="1:11" x14ac:dyDescent="0.25">
      <c r="A40" s="86"/>
      <c r="B40" s="86"/>
      <c r="C40" s="86"/>
      <c r="D40" s="86"/>
      <c r="E40" s="86"/>
      <c r="F40" s="86"/>
      <c r="G40" s="86"/>
      <c r="H40" s="389" t="s">
        <v>61</v>
      </c>
      <c r="I40" s="389"/>
      <c r="J40" s="389"/>
      <c r="K40" s="389"/>
    </row>
    <row r="41" spans="1:11" x14ac:dyDescent="0.25">
      <c r="A41" s="86"/>
      <c r="B41" s="86"/>
      <c r="C41" s="86"/>
      <c r="D41" s="86"/>
      <c r="E41" s="86"/>
      <c r="F41" s="86"/>
      <c r="G41" s="86"/>
      <c r="H41" s="437" t="s">
        <v>40</v>
      </c>
      <c r="I41" s="437"/>
      <c r="J41" s="437"/>
      <c r="K41" s="437"/>
    </row>
    <row r="42" spans="1:11" x14ac:dyDescent="0.25">
      <c r="A42" s="458"/>
      <c r="B42" s="458"/>
      <c r="C42" s="213"/>
      <c r="D42" s="213"/>
      <c r="E42" s="213"/>
      <c r="F42" s="213"/>
      <c r="G42" s="213"/>
      <c r="H42" s="213"/>
      <c r="I42" s="86"/>
      <c r="J42" s="213"/>
    </row>
    <row r="43" spans="1:11" x14ac:dyDescent="0.25">
      <c r="A43" s="458"/>
      <c r="B43" s="458"/>
      <c r="C43" s="213"/>
      <c r="D43" s="213"/>
      <c r="E43" s="213"/>
      <c r="F43" s="213"/>
      <c r="G43" s="213"/>
      <c r="H43" s="390"/>
      <c r="I43" s="390"/>
      <c r="J43" s="390"/>
      <c r="K43" s="390"/>
    </row>
    <row r="44" spans="1:11" x14ac:dyDescent="0.25">
      <c r="A44" s="216"/>
      <c r="B44" s="212"/>
      <c r="C44" s="212"/>
      <c r="D44" s="212"/>
      <c r="E44" s="212"/>
      <c r="F44" s="117"/>
      <c r="G44" s="117"/>
      <c r="H44" s="437"/>
      <c r="I44" s="437"/>
      <c r="J44" s="437"/>
      <c r="K44" s="437"/>
    </row>
    <row r="45" spans="1:11" x14ac:dyDescent="0.25">
      <c r="A45" s="216"/>
      <c r="B45" s="212"/>
      <c r="C45" s="213"/>
      <c r="D45" s="213"/>
      <c r="E45" s="213"/>
      <c r="F45" s="117"/>
      <c r="G45" s="117"/>
      <c r="H45" s="117"/>
      <c r="I45" s="86"/>
      <c r="J45" s="86"/>
      <c r="K45" s="86"/>
    </row>
    <row r="46" spans="1:11" x14ac:dyDescent="0.25">
      <c r="A46" s="117"/>
      <c r="B46" s="212"/>
      <c r="C46" s="115"/>
      <c r="D46" s="115"/>
      <c r="E46" s="115"/>
      <c r="F46" s="115"/>
      <c r="G46" s="115"/>
      <c r="H46" s="115"/>
    </row>
  </sheetData>
  <mergeCells count="48">
    <mergeCell ref="H41:K41"/>
    <mergeCell ref="A42:B43"/>
    <mergeCell ref="H43:K43"/>
    <mergeCell ref="H37:K37"/>
    <mergeCell ref="A38:G38"/>
    <mergeCell ref="H38:K38"/>
    <mergeCell ref="A39:G39"/>
    <mergeCell ref="H39:K39"/>
    <mergeCell ref="H40:K40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J19:K19"/>
    <mergeCell ref="J20:K20"/>
    <mergeCell ref="J21:K21"/>
    <mergeCell ref="J22:K22"/>
    <mergeCell ref="J23:K23"/>
    <mergeCell ref="J14:K14"/>
    <mergeCell ref="J15:K15"/>
    <mergeCell ref="J16:K16"/>
    <mergeCell ref="J17:K17"/>
    <mergeCell ref="J18:K18"/>
    <mergeCell ref="H44:K44"/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topLeftCell="A7" workbookViewId="0">
      <selection activeCell="H42" sqref="H42"/>
    </sheetView>
  </sheetViews>
  <sheetFormatPr baseColWidth="10" defaultRowHeight="15" x14ac:dyDescent="0.25"/>
  <cols>
    <col min="1" max="1" width="5.5703125" customWidth="1"/>
    <col min="2" max="2" width="6" customWidth="1"/>
    <col min="3" max="3" width="7.28515625" customWidth="1"/>
    <col min="4" max="5" width="5.42578125" customWidth="1"/>
    <col min="6" max="6" width="7.7109375" customWidth="1"/>
    <col min="7" max="7" width="6.85546875" customWidth="1"/>
    <col min="8" max="8" width="12.85546875" customWidth="1"/>
    <col min="9" max="9" width="14.28515625" customWidth="1"/>
    <col min="10" max="10" width="6" customWidth="1"/>
    <col min="11" max="11" width="9.85546875" customWidth="1"/>
  </cols>
  <sheetData>
    <row r="1" spans="1:11" ht="1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158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46143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208"/>
      <c r="C10" s="209"/>
      <c r="D10" s="207" t="s">
        <v>6</v>
      </c>
      <c r="E10" s="208"/>
      <c r="F10" s="209"/>
      <c r="G10" s="207" t="s">
        <v>7</v>
      </c>
      <c r="H10" s="209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6</v>
      </c>
      <c r="B12" s="10">
        <v>5</v>
      </c>
      <c r="C12" s="138" t="s">
        <v>273</v>
      </c>
      <c r="D12" s="19">
        <v>6</v>
      </c>
      <c r="E12" s="10">
        <v>5</v>
      </c>
      <c r="F12" s="138" t="s">
        <v>274</v>
      </c>
      <c r="G12" s="12">
        <v>0.5</v>
      </c>
      <c r="H12" s="272">
        <v>83166</v>
      </c>
      <c r="I12" s="14">
        <v>41583</v>
      </c>
      <c r="J12" s="448"/>
      <c r="K12" s="449"/>
    </row>
    <row r="13" spans="1:11" x14ac:dyDescent="0.25">
      <c r="A13" s="9">
        <v>15</v>
      </c>
      <c r="B13" s="10">
        <v>5</v>
      </c>
      <c r="C13" s="138" t="s">
        <v>189</v>
      </c>
      <c r="D13" s="9">
        <v>15</v>
      </c>
      <c r="E13" s="10">
        <v>5</v>
      </c>
      <c r="F13" s="139" t="s">
        <v>280</v>
      </c>
      <c r="G13" s="12">
        <v>0.5</v>
      </c>
      <c r="H13" s="272">
        <v>83166</v>
      </c>
      <c r="I13" s="14">
        <v>41583</v>
      </c>
      <c r="J13" s="461"/>
      <c r="K13" s="462"/>
    </row>
    <row r="14" spans="1:11" x14ac:dyDescent="0.25">
      <c r="A14" s="9"/>
      <c r="B14" s="10"/>
      <c r="C14" s="138"/>
      <c r="D14" s="19"/>
      <c r="E14" s="10"/>
      <c r="F14" s="138"/>
      <c r="G14" s="12"/>
      <c r="H14" s="272"/>
      <c r="I14" s="14"/>
      <c r="J14" s="448"/>
      <c r="K14" s="449"/>
    </row>
    <row r="15" spans="1:11" x14ac:dyDescent="0.25">
      <c r="A15" s="9"/>
      <c r="B15" s="10"/>
      <c r="C15" s="138"/>
      <c r="D15" s="9"/>
      <c r="E15" s="10"/>
      <c r="F15" s="138"/>
      <c r="G15" s="12"/>
      <c r="H15" s="272"/>
      <c r="I15" s="14"/>
      <c r="J15" s="448"/>
      <c r="K15" s="449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448"/>
      <c r="K16" s="449"/>
    </row>
    <row r="17" spans="1:11" x14ac:dyDescent="0.25">
      <c r="A17" s="9"/>
      <c r="B17" s="10"/>
      <c r="C17" s="138"/>
      <c r="D17" s="19"/>
      <c r="E17" s="10"/>
      <c r="F17" s="138"/>
      <c r="G17" s="12"/>
      <c r="H17" s="13"/>
      <c r="I17" s="14"/>
      <c r="J17" s="448"/>
      <c r="K17" s="449"/>
    </row>
    <row r="18" spans="1:11" x14ac:dyDescent="0.25">
      <c r="A18" s="9"/>
      <c r="B18" s="10"/>
      <c r="C18" s="138"/>
      <c r="D18" s="19"/>
      <c r="E18" s="10"/>
      <c r="F18" s="139"/>
      <c r="G18" s="12"/>
      <c r="H18" s="13"/>
      <c r="I18" s="14"/>
      <c r="J18" s="448"/>
      <c r="K18" s="449"/>
    </row>
    <row r="19" spans="1:11" x14ac:dyDescent="0.25">
      <c r="A19" s="9"/>
      <c r="B19" s="10"/>
      <c r="C19" s="138"/>
      <c r="D19" s="19"/>
      <c r="E19" s="10"/>
      <c r="F19" s="138"/>
      <c r="G19" s="12"/>
      <c r="H19" s="13"/>
      <c r="I19" s="14"/>
      <c r="J19" s="448"/>
      <c r="K19" s="449"/>
    </row>
    <row r="20" spans="1:11" x14ac:dyDescent="0.25">
      <c r="A20" s="9"/>
      <c r="B20" s="10"/>
      <c r="C20" s="138"/>
      <c r="D20" s="9"/>
      <c r="E20" s="10"/>
      <c r="F20" s="138"/>
      <c r="G20" s="12"/>
      <c r="H20" s="13"/>
      <c r="I20" s="14"/>
      <c r="J20" s="448"/>
      <c r="K20" s="449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48"/>
      <c r="K21" s="449"/>
    </row>
    <row r="22" spans="1:11" x14ac:dyDescent="0.25">
      <c r="A22" s="9"/>
      <c r="B22" s="10"/>
      <c r="C22" s="138"/>
      <c r="D22" s="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9"/>
      <c r="E26" s="10"/>
      <c r="F26" s="138"/>
      <c r="G26" s="12"/>
      <c r="H26" s="13"/>
      <c r="I26" s="14"/>
      <c r="J26" s="448"/>
      <c r="K26" s="449"/>
    </row>
    <row r="27" spans="1:11" x14ac:dyDescent="0.25">
      <c r="A27" s="25"/>
      <c r="B27" s="25"/>
      <c r="C27" s="26"/>
      <c r="D27" s="25"/>
      <c r="E27" s="25"/>
      <c r="F27" s="26"/>
      <c r="G27" s="27"/>
      <c r="H27" s="13"/>
      <c r="I27" s="14"/>
      <c r="J27" s="448"/>
      <c r="K27" s="449"/>
    </row>
    <row r="28" spans="1:11" x14ac:dyDescent="0.25">
      <c r="A28" s="25"/>
      <c r="B28" s="25"/>
      <c r="C28" s="26"/>
      <c r="D28" s="25"/>
      <c r="E28" s="25"/>
      <c r="F28" s="26"/>
      <c r="G28" s="27"/>
      <c r="H28" s="13"/>
      <c r="I28" s="14"/>
      <c r="J28" s="448"/>
      <c r="K28" s="449"/>
    </row>
    <row r="29" spans="1:11" x14ac:dyDescent="0.25">
      <c r="A29" s="29"/>
      <c r="B29" s="29"/>
      <c r="C29" s="30"/>
      <c r="D29" s="29"/>
      <c r="E29" s="29"/>
      <c r="F29" s="30"/>
      <c r="G29" s="12"/>
      <c r="H29" s="13"/>
      <c r="I29" s="1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217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217"/>
      <c r="J32" s="448"/>
      <c r="K32" s="449"/>
    </row>
    <row r="33" spans="1:11" x14ac:dyDescent="0.25">
      <c r="A33" s="456"/>
      <c r="B33" s="456"/>
      <c r="C33" s="456"/>
      <c r="D33" s="456"/>
      <c r="E33" s="213"/>
      <c r="F33" s="213"/>
      <c r="G33" s="213"/>
      <c r="H33" s="108" t="s">
        <v>47</v>
      </c>
      <c r="I33" s="109">
        <f>SUM(I12:I32)</f>
        <v>83166</v>
      </c>
      <c r="J33" s="457"/>
      <c r="K33" s="457"/>
    </row>
    <row r="34" spans="1:11" x14ac:dyDescent="0.25">
      <c r="A34" s="456"/>
      <c r="B34" s="456"/>
      <c r="C34" s="456"/>
      <c r="D34" s="456"/>
      <c r="E34" s="213"/>
      <c r="F34" s="213"/>
      <c r="G34" s="213"/>
      <c r="H34" s="213"/>
      <c r="I34" s="110"/>
      <c r="J34" s="110"/>
      <c r="K34" s="110"/>
    </row>
    <row r="35" spans="1:11" x14ac:dyDescent="0.25">
      <c r="A35" s="111" t="s">
        <v>294</v>
      </c>
      <c r="B35" s="112"/>
      <c r="C35" s="112"/>
      <c r="D35" s="112"/>
      <c r="E35" s="113"/>
      <c r="F35" s="113"/>
      <c r="G35" s="113"/>
      <c r="H35" s="113"/>
      <c r="I35" s="110"/>
      <c r="J35" s="110"/>
      <c r="K35" s="213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213"/>
    </row>
    <row r="37" spans="1:11" x14ac:dyDescent="0.25">
      <c r="A37" s="114"/>
      <c r="B37" s="114"/>
      <c r="C37" s="114"/>
      <c r="D37" s="114"/>
      <c r="E37" s="114"/>
      <c r="F37" s="114"/>
      <c r="G37" s="114"/>
      <c r="H37" s="390" t="s">
        <v>38</v>
      </c>
      <c r="I37" s="390"/>
      <c r="J37" s="390"/>
      <c r="K37" s="390"/>
    </row>
    <row r="38" spans="1:11" x14ac:dyDescent="0.25">
      <c r="A38" s="459" t="str">
        <f>'ALEJANDRO J'!A40</f>
        <v>RECIBI EL IMPORTE QUE ARROJA LA PLANILLA</v>
      </c>
      <c r="B38" s="459"/>
      <c r="C38" s="459"/>
      <c r="D38" s="459"/>
      <c r="E38" s="459"/>
      <c r="F38" s="459"/>
      <c r="G38" s="459"/>
      <c r="H38" s="437"/>
      <c r="I38" s="437"/>
      <c r="J38" s="437"/>
      <c r="K38" s="437"/>
    </row>
    <row r="39" spans="1:11" x14ac:dyDescent="0.25">
      <c r="A39" s="460" t="s">
        <v>292</v>
      </c>
      <c r="B39" s="460"/>
      <c r="C39" s="460"/>
      <c r="D39" s="460"/>
      <c r="E39" s="460"/>
      <c r="F39" s="460"/>
      <c r="G39" s="460"/>
      <c r="H39" s="437" t="s">
        <v>61</v>
      </c>
      <c r="I39" s="437"/>
      <c r="J39" s="437"/>
      <c r="K39" s="437"/>
    </row>
    <row r="40" spans="1:11" x14ac:dyDescent="0.25">
      <c r="A40" s="86"/>
      <c r="B40" s="86"/>
      <c r="C40" s="86"/>
      <c r="D40" s="86"/>
      <c r="E40" s="86"/>
      <c r="F40" s="86"/>
      <c r="G40" s="86"/>
      <c r="H40" s="389" t="s">
        <v>40</v>
      </c>
      <c r="I40" s="389"/>
      <c r="J40" s="389"/>
      <c r="K40" s="389"/>
    </row>
    <row r="41" spans="1:11" x14ac:dyDescent="0.25">
      <c r="A41" s="86"/>
      <c r="B41" s="86"/>
      <c r="C41" s="86"/>
      <c r="D41" s="86"/>
      <c r="E41" s="86"/>
      <c r="F41" s="86"/>
      <c r="G41" s="86"/>
      <c r="H41" s="437"/>
      <c r="I41" s="437"/>
      <c r="J41" s="437"/>
      <c r="K41" s="437"/>
    </row>
    <row r="42" spans="1:11" x14ac:dyDescent="0.25">
      <c r="A42" s="458"/>
      <c r="B42" s="458"/>
      <c r="C42" s="213"/>
      <c r="D42" s="213"/>
      <c r="E42" s="213"/>
      <c r="F42" s="213"/>
      <c r="G42" s="213"/>
      <c r="H42" s="213"/>
      <c r="I42" s="86"/>
      <c r="J42" s="213"/>
    </row>
    <row r="43" spans="1:11" x14ac:dyDescent="0.25">
      <c r="A43" s="458"/>
      <c r="B43" s="458"/>
      <c r="C43" s="213"/>
      <c r="D43" s="213"/>
      <c r="E43" s="213"/>
      <c r="F43" s="213"/>
      <c r="G43" s="213"/>
      <c r="H43" s="390"/>
      <c r="I43" s="390"/>
      <c r="J43" s="390"/>
      <c r="K43" s="390"/>
    </row>
    <row r="44" spans="1:11" x14ac:dyDescent="0.25">
      <c r="A44" s="216"/>
      <c r="B44" s="212"/>
      <c r="C44" s="212"/>
      <c r="D44" s="212"/>
      <c r="E44" s="212"/>
      <c r="F44" s="117"/>
      <c r="G44" s="117"/>
      <c r="H44" s="437"/>
      <c r="I44" s="437"/>
      <c r="J44" s="437"/>
      <c r="K44" s="437"/>
    </row>
    <row r="45" spans="1:11" x14ac:dyDescent="0.25">
      <c r="A45" s="216"/>
      <c r="B45" s="212"/>
      <c r="C45" s="213"/>
      <c r="D45" s="213"/>
      <c r="E45" s="213"/>
      <c r="F45" s="117"/>
      <c r="G45" s="117"/>
      <c r="H45" s="117"/>
      <c r="I45" s="86"/>
      <c r="J45" s="86"/>
      <c r="K45" s="86"/>
    </row>
    <row r="46" spans="1:11" x14ac:dyDescent="0.25">
      <c r="A46" s="117"/>
      <c r="B46" s="212"/>
      <c r="C46" s="115"/>
      <c r="D46" s="115"/>
      <c r="E46" s="115"/>
      <c r="F46" s="115"/>
      <c r="G46" s="115"/>
      <c r="H46" s="115"/>
    </row>
  </sheetData>
  <mergeCells count="48">
    <mergeCell ref="H40:K40"/>
    <mergeCell ref="J31:K31"/>
    <mergeCell ref="J32:K32"/>
    <mergeCell ref="A33:B33"/>
    <mergeCell ref="C33:D33"/>
    <mergeCell ref="J33:K33"/>
    <mergeCell ref="A34:B34"/>
    <mergeCell ref="C34:D34"/>
    <mergeCell ref="H37:K37"/>
    <mergeCell ref="A38:G38"/>
    <mergeCell ref="H38:K38"/>
    <mergeCell ref="H39:K39"/>
    <mergeCell ref="A39:G39"/>
    <mergeCell ref="J16:K16"/>
    <mergeCell ref="J17:K17"/>
    <mergeCell ref="J30:K30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A1:K2"/>
    <mergeCell ref="A3:K3"/>
    <mergeCell ref="A4:K4"/>
    <mergeCell ref="A5:I5"/>
    <mergeCell ref="J5:K5"/>
    <mergeCell ref="H41:K41"/>
    <mergeCell ref="A42:B43"/>
    <mergeCell ref="H43:K43"/>
    <mergeCell ref="H44:K44"/>
    <mergeCell ref="A6:I6"/>
    <mergeCell ref="J6:K6"/>
    <mergeCell ref="J18:K18"/>
    <mergeCell ref="A7:I7"/>
    <mergeCell ref="A8:I8"/>
    <mergeCell ref="A9:K9"/>
    <mergeCell ref="I10:I11"/>
    <mergeCell ref="J10:K11"/>
    <mergeCell ref="J12:K12"/>
    <mergeCell ref="J13:K13"/>
    <mergeCell ref="J14:K14"/>
    <mergeCell ref="J15:K15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1"/>
  <sheetViews>
    <sheetView topLeftCell="A10" workbookViewId="0">
      <selection activeCell="M24" sqref="M24"/>
    </sheetView>
  </sheetViews>
  <sheetFormatPr baseColWidth="10" defaultRowHeight="15" x14ac:dyDescent="0.25"/>
  <cols>
    <col min="1" max="1" width="6.42578125" customWidth="1"/>
    <col min="2" max="2" width="6.140625" customWidth="1"/>
    <col min="3" max="3" width="7.28515625" customWidth="1"/>
    <col min="4" max="4" width="5" customWidth="1"/>
    <col min="5" max="5" width="5.140625" customWidth="1"/>
    <col min="6" max="6" width="7" customWidth="1"/>
    <col min="7" max="7" width="7.28515625" customWidth="1"/>
    <col min="8" max="9" width="13.5703125" customWidth="1"/>
    <col min="10" max="10" width="6.42578125" customWidth="1"/>
    <col min="11" max="11" width="9.42578125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ht="18" customHeight="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ht="18" customHeight="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ht="18" customHeight="1" x14ac:dyDescent="0.25">
      <c r="A5" s="429" t="s">
        <v>72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ht="18" customHeight="1" x14ac:dyDescent="0.25">
      <c r="A6" s="429" t="s">
        <v>101</v>
      </c>
      <c r="B6" s="430"/>
      <c r="C6" s="430"/>
      <c r="D6" s="430"/>
      <c r="E6" s="430"/>
      <c r="F6" s="430"/>
      <c r="G6" s="430"/>
      <c r="H6" s="430"/>
      <c r="I6" s="431"/>
      <c r="J6" s="432" t="s">
        <v>11</v>
      </c>
      <c r="K6" s="433"/>
    </row>
    <row r="7" spans="1:11" ht="18" customHeight="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ht="18" customHeight="1" x14ac:dyDescent="0.25">
      <c r="A8" s="406"/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ht="18" customHeight="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ht="18" customHeight="1" x14ac:dyDescent="0.25">
      <c r="A10" s="66" t="s">
        <v>2</v>
      </c>
      <c r="B10" s="148"/>
      <c r="C10" s="149"/>
      <c r="D10" s="147" t="s">
        <v>6</v>
      </c>
      <c r="E10" s="148"/>
      <c r="F10" s="149"/>
      <c r="G10" s="147" t="s">
        <v>7</v>
      </c>
      <c r="H10" s="149"/>
      <c r="I10" s="418" t="s">
        <v>10</v>
      </c>
      <c r="J10" s="420" t="s">
        <v>33</v>
      </c>
      <c r="K10" s="421"/>
    </row>
    <row r="11" spans="1:11" ht="18" customHeight="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ht="18" customHeight="1" x14ac:dyDescent="0.25">
      <c r="A12" s="9">
        <v>8</v>
      </c>
      <c r="B12" s="10">
        <v>2</v>
      </c>
      <c r="C12" s="138" t="s">
        <v>79</v>
      </c>
      <c r="D12" s="9">
        <v>9</v>
      </c>
      <c r="E12" s="10">
        <v>2</v>
      </c>
      <c r="F12" s="138" t="s">
        <v>80</v>
      </c>
      <c r="G12" s="12">
        <v>0.25</v>
      </c>
      <c r="H12" s="13">
        <v>60845</v>
      </c>
      <c r="I12" s="14">
        <f t="shared" ref="I12" si="0">H12*G12</f>
        <v>15211.25</v>
      </c>
      <c r="J12" s="448"/>
      <c r="K12" s="449"/>
    </row>
    <row r="13" spans="1:11" ht="18" customHeight="1" x14ac:dyDescent="0.25">
      <c r="A13" s="9"/>
      <c r="B13" s="10"/>
      <c r="C13" s="138"/>
      <c r="D13" s="9"/>
      <c r="E13" s="10"/>
      <c r="F13" s="138"/>
      <c r="G13" s="12"/>
      <c r="H13" s="13"/>
      <c r="I13" s="14"/>
      <c r="J13" s="448"/>
      <c r="K13" s="449"/>
    </row>
    <row r="14" spans="1:11" ht="18" customHeight="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448"/>
      <c r="K14" s="449"/>
    </row>
    <row r="15" spans="1:11" ht="18" customHeight="1" x14ac:dyDescent="0.25">
      <c r="A15" s="9"/>
      <c r="B15" s="10"/>
      <c r="C15" s="11"/>
      <c r="D15" s="22"/>
      <c r="E15" s="10"/>
      <c r="F15" s="11"/>
      <c r="G15" s="12"/>
      <c r="H15" s="13"/>
      <c r="I15" s="14"/>
      <c r="J15" s="448"/>
      <c r="K15" s="449"/>
    </row>
    <row r="16" spans="1:11" ht="18" customHeight="1" x14ac:dyDescent="0.25">
      <c r="A16" s="9"/>
      <c r="B16" s="10"/>
      <c r="C16" s="11"/>
      <c r="D16" s="19"/>
      <c r="E16" s="10"/>
      <c r="F16" s="11"/>
      <c r="G16" s="12"/>
      <c r="H16" s="13"/>
      <c r="I16" s="14"/>
      <c r="J16" s="448"/>
      <c r="K16" s="449"/>
    </row>
    <row r="17" spans="1:11" ht="18" customHeight="1" x14ac:dyDescent="0.25">
      <c r="A17" s="9"/>
      <c r="B17" s="10"/>
      <c r="C17" s="11"/>
      <c r="D17" s="19"/>
      <c r="E17" s="10"/>
      <c r="F17" s="11"/>
      <c r="G17" s="12"/>
      <c r="H17" s="13"/>
      <c r="I17" s="14"/>
      <c r="J17" s="448"/>
      <c r="K17" s="449"/>
    </row>
    <row r="18" spans="1:11" ht="18" customHeight="1" x14ac:dyDescent="0.25">
      <c r="A18" s="9"/>
      <c r="B18" s="10"/>
      <c r="C18" s="11"/>
      <c r="D18" s="19"/>
      <c r="E18" s="10"/>
      <c r="F18" s="11"/>
      <c r="G18" s="12"/>
      <c r="H18" s="13"/>
      <c r="I18" s="14"/>
      <c r="J18" s="448"/>
      <c r="K18" s="449"/>
    </row>
    <row r="19" spans="1:11" ht="18" customHeight="1" x14ac:dyDescent="0.25">
      <c r="A19" s="9"/>
      <c r="B19" s="10"/>
      <c r="C19" s="11"/>
      <c r="D19" s="9"/>
      <c r="E19" s="10"/>
      <c r="F19" s="11"/>
      <c r="G19" s="12"/>
      <c r="H19" s="13"/>
      <c r="I19" s="14"/>
      <c r="J19" s="448"/>
      <c r="K19" s="449"/>
    </row>
    <row r="20" spans="1:11" ht="18" customHeight="1" x14ac:dyDescent="0.25">
      <c r="A20" s="9"/>
      <c r="B20" s="10"/>
      <c r="C20" s="11"/>
      <c r="D20" s="19"/>
      <c r="E20" s="10"/>
      <c r="F20" s="11"/>
      <c r="G20" s="12"/>
      <c r="H20" s="13"/>
      <c r="I20" s="14"/>
      <c r="J20" s="448"/>
      <c r="K20" s="449"/>
    </row>
    <row r="21" spans="1:11" ht="18" customHeight="1" x14ac:dyDescent="0.25">
      <c r="A21" s="9"/>
      <c r="B21" s="10"/>
      <c r="C21" s="11"/>
      <c r="D21" s="9"/>
      <c r="E21" s="10"/>
      <c r="F21" s="11"/>
      <c r="G21" s="12"/>
      <c r="H21" s="13"/>
      <c r="I21" s="14"/>
      <c r="J21" s="448"/>
      <c r="K21" s="449"/>
    </row>
    <row r="22" spans="1:11" ht="18" customHeight="1" x14ac:dyDescent="0.25">
      <c r="A22" s="23"/>
      <c r="B22" s="10"/>
      <c r="C22" s="11"/>
      <c r="D22" s="9"/>
      <c r="E22" s="10"/>
      <c r="F22" s="11"/>
      <c r="G22" s="12"/>
      <c r="H22" s="13"/>
      <c r="I22" s="14"/>
      <c r="J22" s="448"/>
      <c r="K22" s="449"/>
    </row>
    <row r="23" spans="1:11" ht="18" customHeight="1" x14ac:dyDescent="0.25">
      <c r="A23" s="9"/>
      <c r="B23" s="10"/>
      <c r="C23" s="11"/>
      <c r="D23" s="9"/>
      <c r="E23" s="10"/>
      <c r="F23" s="11"/>
      <c r="G23" s="12"/>
      <c r="H23" s="13"/>
      <c r="I23" s="14"/>
      <c r="J23" s="448"/>
      <c r="K23" s="449"/>
    </row>
    <row r="24" spans="1:11" ht="18" customHeight="1" x14ac:dyDescent="0.25">
      <c r="A24" s="9"/>
      <c r="B24" s="10"/>
      <c r="C24" s="11"/>
      <c r="D24" s="9"/>
      <c r="E24" s="10"/>
      <c r="F24" s="11"/>
      <c r="G24" s="12"/>
      <c r="H24" s="13"/>
      <c r="I24" s="14"/>
      <c r="J24" s="448"/>
      <c r="K24" s="449"/>
    </row>
    <row r="25" spans="1:11" ht="18" customHeight="1" x14ac:dyDescent="0.25">
      <c r="A25" s="9"/>
      <c r="B25" s="10"/>
      <c r="C25" s="11"/>
      <c r="D25" s="9"/>
      <c r="E25" s="10"/>
      <c r="F25" s="11"/>
      <c r="G25" s="12"/>
      <c r="H25" s="13"/>
      <c r="I25" s="14"/>
      <c r="J25" s="448"/>
      <c r="K25" s="449"/>
    </row>
    <row r="26" spans="1:11" ht="18" customHeight="1" x14ac:dyDescent="0.25">
      <c r="A26" s="29"/>
      <c r="B26" s="28"/>
      <c r="C26" s="30"/>
      <c r="D26" s="29"/>
      <c r="E26" s="96"/>
      <c r="F26" s="30"/>
      <c r="G26" s="12"/>
      <c r="H26" s="13"/>
      <c r="I26" s="14"/>
      <c r="J26" s="448"/>
      <c r="K26" s="449"/>
    </row>
    <row r="27" spans="1:11" ht="18" customHeight="1" x14ac:dyDescent="0.25">
      <c r="A27" s="29"/>
      <c r="B27" s="28"/>
      <c r="C27" s="30"/>
      <c r="D27" s="29"/>
      <c r="E27" s="96"/>
      <c r="F27" s="30"/>
      <c r="G27" s="12"/>
      <c r="H27" s="13"/>
      <c r="I27" s="14"/>
      <c r="J27" s="448"/>
      <c r="K27" s="449"/>
    </row>
    <row r="28" spans="1:11" ht="18" customHeight="1" x14ac:dyDescent="0.25">
      <c r="A28" s="97"/>
      <c r="B28" s="97"/>
      <c r="C28" s="98"/>
      <c r="D28" s="99"/>
      <c r="E28" s="100"/>
      <c r="F28" s="100"/>
      <c r="G28" s="100"/>
      <c r="H28" s="100"/>
      <c r="I28" s="146"/>
      <c r="J28" s="448"/>
      <c r="K28" s="449"/>
    </row>
    <row r="29" spans="1:11" ht="18" customHeight="1" x14ac:dyDescent="0.25">
      <c r="A29" s="97"/>
      <c r="B29" s="97"/>
      <c r="C29" s="101"/>
      <c r="D29" s="101"/>
      <c r="E29" s="100"/>
      <c r="F29" s="100"/>
      <c r="G29" s="100"/>
      <c r="H29" s="100"/>
      <c r="I29" s="146"/>
      <c r="J29" s="448"/>
      <c r="K29" s="449"/>
    </row>
    <row r="30" spans="1:11" ht="18" customHeight="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ht="18" customHeight="1" x14ac:dyDescent="0.25">
      <c r="A31" s="104"/>
      <c r="B31" s="104"/>
      <c r="C31" s="104"/>
      <c r="D31" s="104"/>
      <c r="E31" s="104"/>
      <c r="F31" s="104"/>
      <c r="G31" s="104"/>
      <c r="H31" s="104"/>
      <c r="I31" s="105"/>
      <c r="J31" s="448"/>
      <c r="K31" s="449"/>
    </row>
    <row r="32" spans="1:11" ht="18" customHeight="1" x14ac:dyDescent="0.25">
      <c r="A32" s="106"/>
      <c r="B32" s="106"/>
      <c r="C32" s="106"/>
      <c r="D32" s="106"/>
      <c r="E32" s="106"/>
      <c r="F32" s="106"/>
      <c r="G32" s="106"/>
      <c r="H32" s="107"/>
      <c r="I32" s="105"/>
      <c r="J32" s="448"/>
      <c r="K32" s="449"/>
    </row>
    <row r="33" spans="1:11" ht="18" customHeight="1" x14ac:dyDescent="0.25">
      <c r="A33" s="456"/>
      <c r="B33" s="456"/>
      <c r="C33" s="456"/>
      <c r="D33" s="456"/>
      <c r="E33" s="150"/>
      <c r="F33" s="150"/>
      <c r="G33" s="150"/>
      <c r="H33" s="108" t="s">
        <v>47</v>
      </c>
      <c r="I33" s="109">
        <f>SUM(I12:I32)</f>
        <v>15211.25</v>
      </c>
      <c r="J33" s="457"/>
      <c r="K33" s="457"/>
    </row>
    <row r="34" spans="1:11" x14ac:dyDescent="0.25">
      <c r="A34" s="456"/>
      <c r="B34" s="456"/>
      <c r="C34" s="456"/>
      <c r="D34" s="456"/>
      <c r="E34" s="150"/>
      <c r="F34" s="150"/>
      <c r="G34" s="150"/>
      <c r="H34" s="150"/>
      <c r="I34" s="110"/>
      <c r="J34" s="110"/>
      <c r="K34" s="110"/>
    </row>
    <row r="35" spans="1:11" x14ac:dyDescent="0.25">
      <c r="A35" s="465" t="s">
        <v>108</v>
      </c>
      <c r="B35" s="465"/>
      <c r="C35" s="465"/>
      <c r="D35" s="465"/>
      <c r="E35" s="465"/>
      <c r="F35" s="465"/>
      <c r="G35" s="465"/>
      <c r="H35" s="465"/>
      <c r="I35" s="465"/>
      <c r="J35" s="465"/>
      <c r="K35" s="465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150"/>
    </row>
    <row r="37" spans="1:11" x14ac:dyDescent="0.25">
      <c r="A37" s="114"/>
      <c r="B37" s="114"/>
      <c r="C37" s="114"/>
      <c r="D37" s="114"/>
      <c r="E37" s="114"/>
      <c r="F37" s="114"/>
      <c r="G37" s="114"/>
      <c r="H37" s="142"/>
      <c r="I37" s="390" t="s">
        <v>58</v>
      </c>
      <c r="J37" s="390"/>
      <c r="K37" s="390"/>
    </row>
    <row r="38" spans="1:11" x14ac:dyDescent="0.25">
      <c r="A38" s="114"/>
      <c r="B38" s="114"/>
      <c r="C38" s="114"/>
      <c r="D38" s="114"/>
      <c r="E38" s="114"/>
      <c r="F38" s="114"/>
      <c r="G38" s="114"/>
      <c r="H38" s="141"/>
      <c r="I38" s="437" t="s">
        <v>38</v>
      </c>
      <c r="J38" s="437"/>
      <c r="K38" s="437"/>
    </row>
    <row r="39" spans="1:11" x14ac:dyDescent="0.25">
      <c r="A39" s="460" t="s">
        <v>39</v>
      </c>
      <c r="B39" s="460"/>
      <c r="C39" s="460"/>
      <c r="D39" s="460"/>
      <c r="E39" s="460"/>
      <c r="F39" s="460"/>
      <c r="G39" s="460"/>
      <c r="H39" s="460"/>
      <c r="I39" s="86"/>
      <c r="J39" s="116"/>
    </row>
    <row r="40" spans="1:11" x14ac:dyDescent="0.25">
      <c r="A40" s="460" t="str">
        <f>'ALEJANDRO J'!A41</f>
        <v>SAN CRISTOBAL, JUNIO DE 2026</v>
      </c>
      <c r="B40" s="460"/>
      <c r="C40" s="460"/>
      <c r="D40" s="460"/>
      <c r="E40" s="460"/>
      <c r="F40" s="460"/>
      <c r="G40" s="460"/>
      <c r="H40" s="460"/>
      <c r="I40" s="466" t="s">
        <v>58</v>
      </c>
      <c r="J40" s="466"/>
      <c r="K40" s="466"/>
    </row>
    <row r="41" spans="1:11" x14ac:dyDescent="0.25">
      <c r="A41" s="86"/>
      <c r="B41" s="86"/>
      <c r="C41" s="86"/>
      <c r="D41" s="86"/>
      <c r="E41" s="86"/>
      <c r="F41" s="86"/>
      <c r="G41" s="86"/>
      <c r="H41" s="86"/>
      <c r="I41" s="464" t="s">
        <v>40</v>
      </c>
      <c r="J41" s="464"/>
      <c r="K41" s="464"/>
    </row>
  </sheetData>
  <mergeCells count="45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I41:K41"/>
    <mergeCell ref="A35:K35"/>
    <mergeCell ref="I37:K37"/>
    <mergeCell ref="I38:K38"/>
    <mergeCell ref="A39:H39"/>
    <mergeCell ref="A40:H40"/>
    <mergeCell ref="I40:K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workbookViewId="0">
      <selection activeCell="Q35" sqref="Q34:Q35"/>
    </sheetView>
  </sheetViews>
  <sheetFormatPr baseColWidth="10" defaultRowHeight="15" x14ac:dyDescent="0.25"/>
  <cols>
    <col min="1" max="1" width="5.5703125" style="228" customWidth="1"/>
    <col min="2" max="2" width="6" style="228" customWidth="1"/>
    <col min="3" max="3" width="7.28515625" style="228" customWidth="1"/>
    <col min="4" max="5" width="5.42578125" style="228" customWidth="1"/>
    <col min="6" max="6" width="7.7109375" style="228" customWidth="1"/>
    <col min="7" max="7" width="6.85546875" style="228" customWidth="1"/>
    <col min="8" max="8" width="12.85546875" style="228" customWidth="1"/>
    <col min="9" max="9" width="14.28515625" style="228" customWidth="1"/>
    <col min="10" max="10" width="6" style="228" customWidth="1"/>
    <col min="11" max="11" width="9.855468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193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46082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292"/>
      <c r="C10" s="293"/>
      <c r="D10" s="291" t="s">
        <v>6</v>
      </c>
      <c r="E10" s="292"/>
      <c r="F10" s="293"/>
      <c r="G10" s="291" t="s">
        <v>7</v>
      </c>
      <c r="H10" s="293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20</v>
      </c>
      <c r="B12" s="10">
        <v>3</v>
      </c>
      <c r="C12" s="138" t="s">
        <v>188</v>
      </c>
      <c r="D12" s="9">
        <v>20</v>
      </c>
      <c r="E12" s="10">
        <v>3</v>
      </c>
      <c r="F12" s="138" t="s">
        <v>189</v>
      </c>
      <c r="G12" s="12">
        <v>0.5</v>
      </c>
      <c r="H12" s="272">
        <v>80166</v>
      </c>
      <c r="I12" s="14">
        <v>40083</v>
      </c>
      <c r="J12" s="448"/>
      <c r="K12" s="449"/>
    </row>
    <row r="13" spans="1:11" x14ac:dyDescent="0.25">
      <c r="A13" s="9">
        <v>20</v>
      </c>
      <c r="B13" s="10">
        <v>3</v>
      </c>
      <c r="C13" s="138" t="s">
        <v>228</v>
      </c>
      <c r="D13" s="19">
        <v>20</v>
      </c>
      <c r="E13" s="10">
        <v>3</v>
      </c>
      <c r="F13" s="138" t="s">
        <v>229</v>
      </c>
      <c r="G13" s="12">
        <v>0.5</v>
      </c>
      <c r="H13" s="272">
        <v>80166</v>
      </c>
      <c r="I13" s="14">
        <v>40083</v>
      </c>
      <c r="J13" s="461"/>
      <c r="K13" s="462"/>
    </row>
    <row r="14" spans="1:11" x14ac:dyDescent="0.25">
      <c r="A14" s="9">
        <v>23</v>
      </c>
      <c r="B14" s="10">
        <v>3</v>
      </c>
      <c r="C14" s="138" t="s">
        <v>85</v>
      </c>
      <c r="D14" s="9">
        <v>23</v>
      </c>
      <c r="E14" s="10">
        <v>3</v>
      </c>
      <c r="F14" s="138" t="s">
        <v>210</v>
      </c>
      <c r="G14" s="12">
        <v>0.5</v>
      </c>
      <c r="H14" s="272">
        <v>80166</v>
      </c>
      <c r="I14" s="14">
        <v>40083</v>
      </c>
      <c r="J14" s="448"/>
      <c r="K14" s="449"/>
    </row>
    <row r="15" spans="1:11" x14ac:dyDescent="0.25">
      <c r="A15" s="9">
        <v>24</v>
      </c>
      <c r="B15" s="10">
        <v>3</v>
      </c>
      <c r="C15" s="138" t="s">
        <v>239</v>
      </c>
      <c r="D15" s="19">
        <v>25</v>
      </c>
      <c r="E15" s="10">
        <v>3</v>
      </c>
      <c r="F15" s="138" t="s">
        <v>214</v>
      </c>
      <c r="G15" s="12">
        <v>0.5</v>
      </c>
      <c r="H15" s="272">
        <v>80166</v>
      </c>
      <c r="I15" s="14">
        <v>40083</v>
      </c>
      <c r="J15" s="448"/>
      <c r="K15" s="449"/>
    </row>
    <row r="16" spans="1:11" x14ac:dyDescent="0.25">
      <c r="A16" s="9">
        <v>25</v>
      </c>
      <c r="B16" s="10">
        <v>3</v>
      </c>
      <c r="C16" s="138" t="s">
        <v>204</v>
      </c>
      <c r="D16" s="19">
        <v>25</v>
      </c>
      <c r="E16" s="10">
        <v>3</v>
      </c>
      <c r="F16" s="138" t="s">
        <v>208</v>
      </c>
      <c r="G16" s="12">
        <v>0.5</v>
      </c>
      <c r="H16" s="272">
        <v>80166</v>
      </c>
      <c r="I16" s="14">
        <v>40083</v>
      </c>
      <c r="J16" s="448"/>
      <c r="K16" s="449"/>
    </row>
    <row r="17" spans="1:11" x14ac:dyDescent="0.25">
      <c r="A17" s="9"/>
      <c r="B17" s="10"/>
      <c r="C17" s="138"/>
      <c r="D17" s="19"/>
      <c r="E17" s="10"/>
      <c r="F17" s="138"/>
      <c r="G17" s="12"/>
      <c r="H17" s="272"/>
      <c r="I17" s="14"/>
      <c r="J17" s="448"/>
      <c r="K17" s="449"/>
    </row>
    <row r="18" spans="1:11" x14ac:dyDescent="0.25">
      <c r="A18" s="9"/>
      <c r="B18" s="10"/>
      <c r="C18" s="138"/>
      <c r="D18" s="19"/>
      <c r="E18" s="10"/>
      <c r="F18" s="138"/>
      <c r="G18" s="12"/>
      <c r="H18" s="272"/>
      <c r="I18" s="14"/>
      <c r="J18" s="448"/>
      <c r="K18" s="449"/>
    </row>
    <row r="19" spans="1:11" x14ac:dyDescent="0.25">
      <c r="A19" s="9"/>
      <c r="B19" s="10"/>
      <c r="C19" s="138"/>
      <c r="D19" s="19"/>
      <c r="E19" s="10"/>
      <c r="F19" s="138"/>
      <c r="G19" s="12"/>
      <c r="H19" s="13"/>
      <c r="I19" s="14"/>
      <c r="J19" s="448"/>
      <c r="K19" s="449"/>
    </row>
    <row r="20" spans="1:11" x14ac:dyDescent="0.25">
      <c r="A20" s="9"/>
      <c r="B20" s="10"/>
      <c r="C20" s="138"/>
      <c r="D20" s="9"/>
      <c r="E20" s="10"/>
      <c r="F20" s="138"/>
      <c r="G20" s="12"/>
      <c r="H20" s="13"/>
      <c r="I20" s="14"/>
      <c r="J20" s="448"/>
      <c r="K20" s="449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48"/>
      <c r="K21" s="449"/>
    </row>
    <row r="22" spans="1:11" x14ac:dyDescent="0.25">
      <c r="A22" s="9"/>
      <c r="B22" s="10"/>
      <c r="C22" s="138"/>
      <c r="D22" s="9"/>
      <c r="E22" s="10"/>
      <c r="F22" s="138"/>
      <c r="G22" s="12"/>
      <c r="H22" s="13"/>
      <c r="I22" s="14"/>
      <c r="J22" s="448"/>
      <c r="K22" s="449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48"/>
      <c r="K23" s="449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9"/>
      <c r="E26" s="10"/>
      <c r="F26" s="138"/>
      <c r="G26" s="12"/>
      <c r="H26" s="13"/>
      <c r="I26" s="14"/>
      <c r="J26" s="448"/>
      <c r="K26" s="449"/>
    </row>
    <row r="27" spans="1:11" x14ac:dyDescent="0.25">
      <c r="A27" s="25"/>
      <c r="B27" s="25"/>
      <c r="C27" s="26"/>
      <c r="D27" s="25"/>
      <c r="E27" s="25"/>
      <c r="F27" s="26"/>
      <c r="G27" s="27"/>
      <c r="H27" s="13"/>
      <c r="I27" s="14"/>
      <c r="J27" s="448"/>
      <c r="K27" s="449"/>
    </row>
    <row r="28" spans="1:11" x14ac:dyDescent="0.25">
      <c r="A28" s="25"/>
      <c r="B28" s="25"/>
      <c r="C28" s="26"/>
      <c r="D28" s="25"/>
      <c r="E28" s="25"/>
      <c r="F28" s="26"/>
      <c r="G28" s="27"/>
      <c r="H28" s="13"/>
      <c r="I28" s="14"/>
      <c r="J28" s="448"/>
      <c r="K28" s="449"/>
    </row>
    <row r="29" spans="1:11" x14ac:dyDescent="0.25">
      <c r="A29" s="29"/>
      <c r="B29" s="29"/>
      <c r="C29" s="30"/>
      <c r="D29" s="29"/>
      <c r="E29" s="29"/>
      <c r="F29" s="30"/>
      <c r="G29" s="12"/>
      <c r="H29" s="13"/>
      <c r="I29" s="1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297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297"/>
      <c r="J32" s="448"/>
      <c r="K32" s="449"/>
    </row>
    <row r="33" spans="1:11" x14ac:dyDescent="0.25">
      <c r="A33" s="456"/>
      <c r="B33" s="456"/>
      <c r="C33" s="456"/>
      <c r="D33" s="456"/>
      <c r="E33" s="294"/>
      <c r="F33" s="294"/>
      <c r="G33" s="294"/>
      <c r="H33" s="108" t="s">
        <v>47</v>
      </c>
      <c r="I33" s="109">
        <f>SUM(I12:I32)</f>
        <v>200415</v>
      </c>
      <c r="J33" s="457"/>
      <c r="K33" s="457"/>
    </row>
    <row r="34" spans="1:11" x14ac:dyDescent="0.25">
      <c r="A34" s="456"/>
      <c r="B34" s="456"/>
      <c r="C34" s="456"/>
      <c r="D34" s="456"/>
      <c r="E34" s="294"/>
      <c r="F34" s="294"/>
      <c r="G34" s="294"/>
      <c r="H34" s="294"/>
      <c r="I34" s="110"/>
      <c r="J34" s="110"/>
      <c r="K34" s="110"/>
    </row>
    <row r="35" spans="1:11" x14ac:dyDescent="0.25">
      <c r="A35" s="111" t="s">
        <v>242</v>
      </c>
      <c r="B35" s="112"/>
      <c r="C35" s="112"/>
      <c r="D35" s="112"/>
      <c r="E35" s="113"/>
      <c r="F35" s="113"/>
      <c r="G35" s="113"/>
      <c r="H35" s="113"/>
      <c r="I35" s="110"/>
      <c r="J35" s="110"/>
      <c r="K35" s="294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294"/>
    </row>
    <row r="37" spans="1:11" x14ac:dyDescent="0.25">
      <c r="A37" s="114"/>
      <c r="B37" s="114"/>
      <c r="C37" s="114"/>
      <c r="D37" s="114"/>
      <c r="E37" s="114"/>
      <c r="F37" s="114"/>
      <c r="G37" s="114"/>
      <c r="H37" s="390" t="s">
        <v>38</v>
      </c>
      <c r="I37" s="390"/>
      <c r="J37" s="390"/>
      <c r="K37" s="390"/>
    </row>
    <row r="38" spans="1:11" x14ac:dyDescent="0.25">
      <c r="A38" s="459" t="str">
        <f>'ALEJANDRO J'!A40</f>
        <v>RECIBI EL IMPORTE QUE ARROJA LA PLANILLA</v>
      </c>
      <c r="B38" s="459"/>
      <c r="C38" s="459"/>
      <c r="D38" s="459"/>
      <c r="E38" s="459"/>
      <c r="F38" s="459"/>
      <c r="G38" s="459"/>
      <c r="H38" s="437"/>
      <c r="I38" s="437"/>
      <c r="J38" s="437"/>
      <c r="K38" s="437"/>
    </row>
    <row r="39" spans="1:11" x14ac:dyDescent="0.25">
      <c r="A39" s="460" t="s">
        <v>231</v>
      </c>
      <c r="B39" s="460"/>
      <c r="C39" s="460"/>
      <c r="D39" s="460"/>
      <c r="E39" s="460"/>
      <c r="F39" s="460"/>
      <c r="G39" s="460"/>
      <c r="H39" s="437" t="s">
        <v>61</v>
      </c>
      <c r="I39" s="437"/>
      <c r="J39" s="437"/>
      <c r="K39" s="437"/>
    </row>
    <row r="40" spans="1:11" x14ac:dyDescent="0.25">
      <c r="A40" s="86"/>
      <c r="B40" s="86"/>
      <c r="C40" s="86"/>
      <c r="D40" s="86"/>
      <c r="E40" s="86"/>
      <c r="F40" s="86"/>
      <c r="G40" s="86"/>
      <c r="H40" s="389" t="s">
        <v>40</v>
      </c>
      <c r="I40" s="389"/>
      <c r="J40" s="389"/>
      <c r="K40" s="389"/>
    </row>
    <row r="41" spans="1:11" x14ac:dyDescent="0.25">
      <c r="A41" s="86"/>
      <c r="B41" s="86"/>
      <c r="C41" s="86"/>
      <c r="D41" s="86"/>
      <c r="E41" s="86"/>
      <c r="F41" s="86"/>
      <c r="G41" s="86" t="s">
        <v>243</v>
      </c>
      <c r="H41" s="437"/>
      <c r="I41" s="437"/>
      <c r="J41" s="437"/>
      <c r="K41" s="437"/>
    </row>
    <row r="42" spans="1:11" x14ac:dyDescent="0.25">
      <c r="A42" s="458"/>
      <c r="B42" s="458"/>
      <c r="C42" s="294"/>
      <c r="D42" s="294"/>
      <c r="E42" s="294"/>
      <c r="F42" s="294"/>
      <c r="G42" s="294"/>
      <c r="H42" s="294"/>
      <c r="I42" s="86"/>
      <c r="J42" s="294"/>
    </row>
    <row r="43" spans="1:11" x14ac:dyDescent="0.25">
      <c r="A43" s="458"/>
      <c r="B43" s="458"/>
      <c r="C43" s="294"/>
      <c r="D43" s="294"/>
      <c r="E43" s="294"/>
      <c r="F43" s="294"/>
      <c r="G43" s="294"/>
      <c r="H43" s="390"/>
      <c r="I43" s="390"/>
      <c r="J43" s="390"/>
      <c r="K43" s="390"/>
    </row>
    <row r="44" spans="1:11" x14ac:dyDescent="0.25">
      <c r="A44" s="296"/>
      <c r="B44" s="295"/>
      <c r="C44" s="295"/>
      <c r="D44" s="295"/>
      <c r="E44" s="295"/>
      <c r="F44" s="117"/>
      <c r="G44" s="117"/>
      <c r="H44" s="437"/>
      <c r="I44" s="437"/>
      <c r="J44" s="437"/>
      <c r="K44" s="437"/>
    </row>
    <row r="45" spans="1:11" x14ac:dyDescent="0.25">
      <c r="A45" s="296"/>
      <c r="B45" s="295"/>
      <c r="C45" s="294"/>
      <c r="D45" s="294"/>
      <c r="E45" s="294"/>
      <c r="F45" s="117"/>
      <c r="G45" s="117"/>
      <c r="H45" s="117"/>
      <c r="I45" s="86"/>
      <c r="J45" s="86"/>
      <c r="K45" s="86"/>
    </row>
    <row r="46" spans="1:11" x14ac:dyDescent="0.25">
      <c r="A46" s="117"/>
      <c r="B46" s="295"/>
      <c r="C46" s="115"/>
      <c r="D46" s="115"/>
      <c r="E46" s="115"/>
      <c r="F46" s="115"/>
      <c r="G46" s="115"/>
      <c r="H46" s="115"/>
    </row>
  </sheetData>
  <mergeCells count="48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H41:K41"/>
    <mergeCell ref="A42:B43"/>
    <mergeCell ref="H43:K43"/>
    <mergeCell ref="H44:K44"/>
    <mergeCell ref="H37:K37"/>
    <mergeCell ref="A38:G38"/>
    <mergeCell ref="H38:K38"/>
    <mergeCell ref="A39:G39"/>
    <mergeCell ref="H39:K39"/>
    <mergeCell ref="H40:K40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workbookViewId="0">
      <selection activeCell="A10" sqref="A1:K1048576"/>
    </sheetView>
  </sheetViews>
  <sheetFormatPr baseColWidth="10" defaultRowHeight="15" x14ac:dyDescent="0.25"/>
  <cols>
    <col min="1" max="1" width="4.85546875" customWidth="1"/>
    <col min="2" max="2" width="5.28515625" customWidth="1"/>
    <col min="3" max="3" width="7.28515625" customWidth="1"/>
    <col min="4" max="4" width="4.5703125" customWidth="1"/>
    <col min="5" max="5" width="5.5703125" customWidth="1"/>
    <col min="6" max="6" width="7.28515625" customWidth="1"/>
    <col min="7" max="7" width="5.42578125" customWidth="1"/>
    <col min="8" max="8" width="12.28515625" customWidth="1"/>
    <col min="9" max="9" width="13.85546875" customWidth="1"/>
    <col min="10" max="10" width="6" customWidth="1"/>
    <col min="11" max="11" width="9.85546875" customWidth="1"/>
  </cols>
  <sheetData>
    <row r="1" spans="1:11" ht="19.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9.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ht="19.5" customHeight="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ht="19.5" customHeight="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ht="19.5" customHeight="1" x14ac:dyDescent="0.25">
      <c r="A5" s="429" t="s">
        <v>48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ht="19.5" customHeight="1" x14ac:dyDescent="0.25">
      <c r="A6" s="429" t="s">
        <v>115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ht="19.5" customHeight="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ht="19.5" customHeight="1" x14ac:dyDescent="0.25">
      <c r="A8" s="463">
        <v>46023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ht="19.5" customHeight="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ht="18" customHeight="1" x14ac:dyDescent="0.25">
      <c r="A10" s="66" t="s">
        <v>2</v>
      </c>
      <c r="B10" s="67"/>
      <c r="C10" s="68"/>
      <c r="D10" s="69" t="s">
        <v>6</v>
      </c>
      <c r="E10" s="67"/>
      <c r="F10" s="68"/>
      <c r="G10" s="69" t="s">
        <v>7</v>
      </c>
      <c r="H10" s="68"/>
      <c r="I10" s="418" t="s">
        <v>10</v>
      </c>
      <c r="J10" s="420" t="s">
        <v>33</v>
      </c>
      <c r="K10" s="421"/>
    </row>
    <row r="11" spans="1:11" ht="18" customHeight="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ht="18" customHeight="1" x14ac:dyDescent="0.25">
      <c r="A12" s="9">
        <v>1</v>
      </c>
      <c r="B12" s="10">
        <v>1</v>
      </c>
      <c r="C12" s="229" t="s">
        <v>151</v>
      </c>
      <c r="D12" s="9">
        <v>1</v>
      </c>
      <c r="E12" s="10">
        <v>1</v>
      </c>
      <c r="F12" s="138" t="s">
        <v>165</v>
      </c>
      <c r="G12" s="12">
        <v>0.5</v>
      </c>
      <c r="H12" s="272">
        <v>72808</v>
      </c>
      <c r="I12" s="14">
        <v>36404</v>
      </c>
      <c r="J12" s="461"/>
      <c r="K12" s="467"/>
    </row>
    <row r="13" spans="1:11" ht="18" customHeight="1" x14ac:dyDescent="0.25">
      <c r="A13" s="18">
        <v>1</v>
      </c>
      <c r="B13" s="10">
        <v>1</v>
      </c>
      <c r="C13" s="229" t="s">
        <v>150</v>
      </c>
      <c r="D13" s="19">
        <v>2</v>
      </c>
      <c r="E13" s="10">
        <v>1</v>
      </c>
      <c r="F13" s="139" t="s">
        <v>181</v>
      </c>
      <c r="G13" s="12">
        <v>0.5</v>
      </c>
      <c r="H13" s="272">
        <v>72808</v>
      </c>
      <c r="I13" s="14">
        <v>36404</v>
      </c>
      <c r="J13" s="461"/>
      <c r="K13" s="467"/>
    </row>
    <row r="14" spans="1:11" ht="18" customHeight="1" x14ac:dyDescent="0.25">
      <c r="A14" s="9">
        <v>6</v>
      </c>
      <c r="B14" s="10">
        <v>1</v>
      </c>
      <c r="C14" s="138" t="s">
        <v>166</v>
      </c>
      <c r="D14" s="9">
        <v>7</v>
      </c>
      <c r="E14" s="10">
        <v>1</v>
      </c>
      <c r="F14" s="138" t="s">
        <v>167</v>
      </c>
      <c r="G14" s="12">
        <v>0.5</v>
      </c>
      <c r="H14" s="272">
        <v>72808</v>
      </c>
      <c r="I14" s="14">
        <v>36404</v>
      </c>
      <c r="J14" s="461"/>
      <c r="K14" s="467"/>
    </row>
    <row r="15" spans="1:11" ht="18" customHeight="1" x14ac:dyDescent="0.25">
      <c r="A15" s="9"/>
      <c r="B15" s="10"/>
      <c r="C15" s="138"/>
      <c r="D15" s="19"/>
      <c r="E15" s="10"/>
      <c r="F15" s="138"/>
      <c r="G15" s="12"/>
      <c r="H15" s="272"/>
      <c r="I15" s="14"/>
      <c r="J15" s="461"/>
      <c r="K15" s="467"/>
    </row>
    <row r="16" spans="1:11" ht="18" customHeight="1" x14ac:dyDescent="0.25">
      <c r="A16" s="9"/>
      <c r="B16" s="10"/>
      <c r="C16" s="138"/>
      <c r="D16" s="19"/>
      <c r="E16" s="10"/>
      <c r="F16" s="138"/>
      <c r="G16" s="12"/>
      <c r="H16" s="272"/>
      <c r="I16" s="14"/>
      <c r="J16" s="461"/>
      <c r="K16" s="467"/>
    </row>
    <row r="17" spans="1:11" ht="18" customHeight="1" x14ac:dyDescent="0.25">
      <c r="A17" s="9"/>
      <c r="B17" s="10"/>
      <c r="C17" s="138"/>
      <c r="D17" s="9"/>
      <c r="E17" s="10"/>
      <c r="F17" s="138"/>
      <c r="G17" s="12"/>
      <c r="H17" s="272"/>
      <c r="I17" s="14"/>
      <c r="J17" s="461"/>
      <c r="K17" s="467"/>
    </row>
    <row r="18" spans="1:11" ht="18" customHeight="1" x14ac:dyDescent="0.25">
      <c r="A18" s="9"/>
      <c r="B18" s="10"/>
      <c r="C18" s="138"/>
      <c r="D18" s="19"/>
      <c r="E18" s="10"/>
      <c r="F18" s="138"/>
      <c r="G18" s="12"/>
      <c r="H18" s="272"/>
      <c r="I18" s="14"/>
      <c r="J18" s="461"/>
      <c r="K18" s="467"/>
    </row>
    <row r="19" spans="1:11" ht="18" customHeight="1" x14ac:dyDescent="0.25">
      <c r="A19" s="9"/>
      <c r="B19" s="10"/>
      <c r="C19" s="138"/>
      <c r="D19" s="19"/>
      <c r="E19" s="10"/>
      <c r="F19" s="138"/>
      <c r="G19" s="12"/>
      <c r="H19" s="272"/>
      <c r="I19" s="14"/>
      <c r="J19" s="461"/>
      <c r="K19" s="467"/>
    </row>
    <row r="20" spans="1:11" ht="18" customHeight="1" x14ac:dyDescent="0.25">
      <c r="A20" s="9"/>
      <c r="B20" s="10"/>
      <c r="C20" s="138"/>
      <c r="D20" s="9"/>
      <c r="E20" s="10"/>
      <c r="F20" s="138"/>
      <c r="G20" s="12"/>
      <c r="H20" s="272"/>
      <c r="I20" s="14"/>
      <c r="J20" s="461"/>
      <c r="K20" s="467"/>
    </row>
    <row r="21" spans="1:11" ht="18" customHeight="1" x14ac:dyDescent="0.25">
      <c r="A21" s="9"/>
      <c r="B21" s="10"/>
      <c r="C21" s="138"/>
      <c r="D21" s="19"/>
      <c r="E21" s="10"/>
      <c r="F21" s="138"/>
      <c r="G21" s="12"/>
      <c r="H21" s="272"/>
      <c r="I21" s="14"/>
      <c r="J21" s="461"/>
      <c r="K21" s="467"/>
    </row>
    <row r="22" spans="1:11" ht="18" customHeight="1" x14ac:dyDescent="0.25">
      <c r="A22" s="9"/>
      <c r="B22" s="10"/>
      <c r="C22" s="138"/>
      <c r="D22" s="19"/>
      <c r="E22" s="10"/>
      <c r="F22" s="138"/>
      <c r="G22" s="12"/>
      <c r="H22" s="13"/>
      <c r="I22" s="14"/>
      <c r="J22" s="461"/>
      <c r="K22" s="467"/>
    </row>
    <row r="23" spans="1:11" ht="18" customHeight="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61"/>
      <c r="K23" s="467"/>
    </row>
    <row r="24" spans="1:11" ht="18" customHeight="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ht="18" customHeight="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ht="18" customHeight="1" x14ac:dyDescent="0.25">
      <c r="A26" s="9"/>
      <c r="B26" s="10"/>
      <c r="C26" s="138"/>
      <c r="D26" s="19"/>
      <c r="E26" s="10"/>
      <c r="F26" s="138"/>
      <c r="G26" s="12"/>
      <c r="H26" s="13"/>
      <c r="I26" s="14"/>
      <c r="J26" s="448"/>
      <c r="K26" s="449"/>
    </row>
    <row r="27" spans="1:11" ht="18" customHeight="1" x14ac:dyDescent="0.25">
      <c r="A27" s="9"/>
      <c r="B27" s="10"/>
      <c r="C27" s="138"/>
      <c r="D27" s="19"/>
      <c r="E27" s="10"/>
      <c r="F27" s="138"/>
      <c r="G27" s="12"/>
      <c r="H27" s="13"/>
      <c r="I27" s="14"/>
      <c r="J27" s="448"/>
      <c r="K27" s="449"/>
    </row>
    <row r="28" spans="1:11" ht="18" customHeight="1" x14ac:dyDescent="0.25">
      <c r="A28" s="97"/>
      <c r="B28" s="97"/>
      <c r="C28" s="98"/>
      <c r="D28" s="99"/>
      <c r="E28" s="100"/>
      <c r="F28" s="100"/>
      <c r="G28" s="100"/>
      <c r="H28" s="100"/>
      <c r="I28" s="93"/>
      <c r="J28" s="448"/>
      <c r="K28" s="449"/>
    </row>
    <row r="29" spans="1:11" ht="18" customHeight="1" x14ac:dyDescent="0.25">
      <c r="A29" s="97"/>
      <c r="B29" s="97"/>
      <c r="C29" s="101"/>
      <c r="D29" s="101"/>
      <c r="E29" s="100"/>
      <c r="F29" s="100"/>
      <c r="G29" s="100"/>
      <c r="H29" s="100"/>
      <c r="I29" s="93"/>
      <c r="J29" s="448"/>
      <c r="K29" s="449"/>
    </row>
    <row r="30" spans="1:11" ht="18" customHeight="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ht="18" customHeight="1" x14ac:dyDescent="0.25">
      <c r="A31" s="104"/>
      <c r="B31" s="104"/>
      <c r="C31" s="104"/>
      <c r="D31" s="104"/>
      <c r="E31" s="104"/>
      <c r="F31" s="104"/>
      <c r="G31" s="104"/>
      <c r="H31" s="104"/>
      <c r="I31" s="105"/>
      <c r="J31" s="448"/>
      <c r="K31" s="449"/>
    </row>
    <row r="32" spans="1:11" ht="18" customHeight="1" x14ac:dyDescent="0.25">
      <c r="A32" s="106"/>
      <c r="B32" s="106"/>
      <c r="C32" s="106"/>
      <c r="D32" s="106"/>
      <c r="E32" s="106"/>
      <c r="F32" s="106"/>
      <c r="G32" s="106"/>
      <c r="H32" s="107"/>
      <c r="I32" s="105"/>
      <c r="J32" s="448"/>
      <c r="K32" s="449"/>
    </row>
    <row r="33" spans="1:11" ht="18" customHeight="1" x14ac:dyDescent="0.25">
      <c r="A33" s="456"/>
      <c r="B33" s="456"/>
      <c r="C33" s="456"/>
      <c r="D33" s="456"/>
      <c r="E33" s="90"/>
      <c r="F33" s="90"/>
      <c r="G33" s="90"/>
      <c r="H33" s="108" t="s">
        <v>47</v>
      </c>
      <c r="I33" s="109">
        <f>SUM(I12:I32)</f>
        <v>109212</v>
      </c>
      <c r="J33" s="457"/>
      <c r="K33" s="457"/>
    </row>
    <row r="34" spans="1:11" ht="18" customHeight="1" x14ac:dyDescent="0.25">
      <c r="A34" s="456"/>
      <c r="B34" s="456"/>
      <c r="C34" s="456"/>
      <c r="D34" s="456"/>
      <c r="E34" s="90"/>
      <c r="F34" s="90"/>
      <c r="G34" s="90"/>
      <c r="H34" s="90"/>
      <c r="I34" s="110"/>
      <c r="J34" s="110"/>
      <c r="K34" s="110"/>
    </row>
    <row r="35" spans="1:11" ht="18" customHeight="1" x14ac:dyDescent="0.25">
      <c r="A35" s="111" t="s">
        <v>174</v>
      </c>
      <c r="B35" s="112"/>
      <c r="C35" s="112"/>
      <c r="D35" s="112"/>
      <c r="E35" s="113"/>
      <c r="F35" s="113"/>
      <c r="G35" s="113"/>
      <c r="H35" s="113"/>
      <c r="I35" s="110"/>
      <c r="J35" s="110"/>
      <c r="K35" s="90"/>
    </row>
    <row r="36" spans="1:11" ht="18" customHeight="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90"/>
    </row>
    <row r="37" spans="1:11" ht="18" customHeight="1" x14ac:dyDescent="0.25">
      <c r="A37" s="114"/>
      <c r="B37" s="114"/>
      <c r="C37" s="114"/>
      <c r="D37" s="114"/>
      <c r="E37" s="114"/>
      <c r="F37" s="114"/>
      <c r="G37" s="114"/>
      <c r="H37" s="142"/>
      <c r="I37" s="390" t="s">
        <v>61</v>
      </c>
      <c r="J37" s="390"/>
      <c r="K37" s="390"/>
    </row>
    <row r="38" spans="1:11" ht="18" customHeight="1" x14ac:dyDescent="0.25">
      <c r="A38" s="114"/>
      <c r="B38" s="114"/>
      <c r="C38" s="114"/>
      <c r="D38" s="114"/>
      <c r="E38" s="114"/>
      <c r="F38" s="114"/>
      <c r="G38" s="114"/>
      <c r="H38" s="141"/>
      <c r="I38" s="437" t="s">
        <v>38</v>
      </c>
      <c r="J38" s="437"/>
      <c r="K38" s="437"/>
    </row>
    <row r="39" spans="1:11" ht="18" customHeight="1" x14ac:dyDescent="0.25">
      <c r="A39" s="460" t="s">
        <v>39</v>
      </c>
      <c r="B39" s="460"/>
      <c r="C39" s="460"/>
      <c r="D39" s="460"/>
      <c r="E39" s="460"/>
      <c r="F39" s="460"/>
      <c r="G39" s="460"/>
      <c r="H39" s="460"/>
      <c r="I39" s="86"/>
      <c r="J39" s="116"/>
    </row>
    <row r="40" spans="1:11" ht="18" customHeight="1" x14ac:dyDescent="0.25">
      <c r="A40" s="460" t="s">
        <v>194</v>
      </c>
      <c r="B40" s="460"/>
      <c r="C40" s="460"/>
      <c r="D40" s="460"/>
      <c r="E40" s="460"/>
      <c r="F40" s="460"/>
      <c r="G40" s="460"/>
      <c r="H40" s="460"/>
      <c r="I40" s="464" t="s">
        <v>64</v>
      </c>
      <c r="J40" s="464"/>
      <c r="K40" s="464"/>
    </row>
    <row r="41" spans="1:11" ht="18" customHeight="1" x14ac:dyDescent="0.25">
      <c r="A41" s="86"/>
      <c r="B41" s="86"/>
      <c r="C41" s="86"/>
      <c r="D41" s="86"/>
      <c r="E41" s="86"/>
      <c r="F41" s="86"/>
      <c r="G41" s="86"/>
      <c r="H41" s="86"/>
      <c r="I41" s="389" t="s">
        <v>40</v>
      </c>
      <c r="J41" s="389"/>
      <c r="K41" s="389"/>
    </row>
    <row r="42" spans="1:11" ht="18" customHeight="1" x14ac:dyDescent="0.25">
      <c r="A42" s="458"/>
      <c r="B42" s="458"/>
      <c r="C42" s="90"/>
      <c r="D42" s="90"/>
      <c r="E42" s="90"/>
      <c r="F42" s="90"/>
      <c r="G42" s="90"/>
      <c r="H42" s="90"/>
      <c r="I42" s="389"/>
      <c r="J42" s="389"/>
      <c r="K42" s="389"/>
    </row>
    <row r="43" spans="1:11" ht="18" customHeight="1" x14ac:dyDescent="0.25">
      <c r="A43" s="458"/>
      <c r="B43" s="458"/>
      <c r="C43" s="90"/>
      <c r="D43" s="90"/>
      <c r="E43" s="90"/>
      <c r="F43" s="90"/>
      <c r="G43" s="90"/>
      <c r="H43" s="390"/>
      <c r="I43" s="390"/>
      <c r="J43" s="390"/>
      <c r="K43" s="390"/>
    </row>
    <row r="44" spans="1:11" ht="18" customHeight="1" x14ac:dyDescent="0.25">
      <c r="A44" s="91"/>
      <c r="B44" s="89"/>
      <c r="C44" s="89"/>
      <c r="D44" s="89"/>
      <c r="E44" s="89"/>
      <c r="F44" s="117"/>
      <c r="G44" s="117"/>
      <c r="H44" s="437"/>
      <c r="I44" s="437"/>
      <c r="J44" s="437"/>
      <c r="K44" s="437"/>
    </row>
    <row r="45" spans="1:11" ht="18" customHeight="1" x14ac:dyDescent="0.25">
      <c r="A45" s="91"/>
      <c r="B45" s="89"/>
      <c r="C45" s="90"/>
      <c r="D45" s="90"/>
      <c r="E45" s="90"/>
      <c r="F45" s="117"/>
      <c r="G45" s="117"/>
      <c r="H45" s="117"/>
      <c r="I45" s="86"/>
      <c r="J45" s="86"/>
      <c r="K45" s="86"/>
    </row>
    <row r="46" spans="1:11" ht="18" customHeight="1" x14ac:dyDescent="0.25">
      <c r="A46" s="117"/>
      <c r="B46" s="89"/>
      <c r="C46" s="115"/>
      <c r="D46" s="115"/>
      <c r="E46" s="115"/>
      <c r="F46" s="115"/>
      <c r="G46" s="115"/>
      <c r="H46" s="115"/>
    </row>
  </sheetData>
  <mergeCells count="48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A42:B43"/>
    <mergeCell ref="H43:K43"/>
    <mergeCell ref="H44:K44"/>
    <mergeCell ref="I37:K37"/>
    <mergeCell ref="I38:K38"/>
    <mergeCell ref="A39:H39"/>
    <mergeCell ref="A40:H40"/>
    <mergeCell ref="I42:K42"/>
    <mergeCell ref="I41:K41"/>
    <mergeCell ref="I40:K4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"/>
  <sheetViews>
    <sheetView topLeftCell="A25" workbookViewId="0">
      <selection activeCell="L45" sqref="K45:L46"/>
    </sheetView>
  </sheetViews>
  <sheetFormatPr baseColWidth="10" defaultRowHeight="15" x14ac:dyDescent="0.25"/>
  <cols>
    <col min="1" max="1" width="4.85546875" style="228" customWidth="1"/>
    <col min="2" max="2" width="5.28515625" style="228" customWidth="1"/>
    <col min="3" max="3" width="7.28515625" style="228" customWidth="1"/>
    <col min="4" max="4" width="4.5703125" style="228" customWidth="1"/>
    <col min="5" max="5" width="5.5703125" style="228" customWidth="1"/>
    <col min="6" max="6" width="7.28515625" style="228" customWidth="1"/>
    <col min="7" max="7" width="5.42578125" style="228" customWidth="1"/>
    <col min="8" max="8" width="12.28515625" style="228" customWidth="1"/>
    <col min="9" max="9" width="13.85546875" style="228" customWidth="1"/>
    <col min="10" max="10" width="6" style="228" customWidth="1"/>
    <col min="11" max="11" width="9.855468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295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115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46143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343"/>
      <c r="C10" s="344"/>
      <c r="D10" s="342" t="s">
        <v>6</v>
      </c>
      <c r="E10" s="343"/>
      <c r="F10" s="344"/>
      <c r="G10" s="342" t="s">
        <v>7</v>
      </c>
      <c r="H10" s="344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10</v>
      </c>
      <c r="B12" s="10">
        <v>5</v>
      </c>
      <c r="C12" s="138" t="s">
        <v>276</v>
      </c>
      <c r="D12" s="19">
        <v>11</v>
      </c>
      <c r="E12" s="10">
        <v>5</v>
      </c>
      <c r="F12" s="139" t="s">
        <v>253</v>
      </c>
      <c r="G12" s="12">
        <v>0.5</v>
      </c>
      <c r="H12" s="272">
        <v>83166</v>
      </c>
      <c r="I12" s="14">
        <v>41583</v>
      </c>
      <c r="J12" s="461"/>
      <c r="K12" s="467"/>
    </row>
    <row r="13" spans="1:11" x14ac:dyDescent="0.25">
      <c r="A13" s="9">
        <v>10</v>
      </c>
      <c r="B13" s="10">
        <v>5</v>
      </c>
      <c r="C13" s="138" t="s">
        <v>277</v>
      </c>
      <c r="D13" s="9">
        <v>10</v>
      </c>
      <c r="E13" s="10">
        <v>5</v>
      </c>
      <c r="F13" s="138" t="s">
        <v>278</v>
      </c>
      <c r="G13" s="12">
        <v>0.5</v>
      </c>
      <c r="H13" s="272">
        <v>83166</v>
      </c>
      <c r="I13" s="14">
        <v>41583</v>
      </c>
      <c r="J13" s="461"/>
      <c r="K13" s="467"/>
    </row>
    <row r="14" spans="1:11" x14ac:dyDescent="0.25">
      <c r="A14" s="9">
        <v>11</v>
      </c>
      <c r="B14" s="10">
        <v>5</v>
      </c>
      <c r="C14" s="138" t="s">
        <v>183</v>
      </c>
      <c r="D14" s="19">
        <v>11</v>
      </c>
      <c r="E14" s="10">
        <v>5</v>
      </c>
      <c r="F14" s="138" t="s">
        <v>279</v>
      </c>
      <c r="G14" s="12">
        <v>0.5</v>
      </c>
      <c r="H14" s="272">
        <v>83166</v>
      </c>
      <c r="I14" s="14">
        <v>41583</v>
      </c>
      <c r="J14" s="461"/>
      <c r="K14" s="467"/>
    </row>
    <row r="15" spans="1:11" x14ac:dyDescent="0.25">
      <c r="A15" s="9">
        <v>17</v>
      </c>
      <c r="B15" s="10">
        <v>5</v>
      </c>
      <c r="C15" s="138" t="s">
        <v>281</v>
      </c>
      <c r="D15" s="19">
        <v>17</v>
      </c>
      <c r="E15" s="10">
        <v>5</v>
      </c>
      <c r="F15" s="138" t="s">
        <v>283</v>
      </c>
      <c r="G15" s="12">
        <v>0.5</v>
      </c>
      <c r="H15" s="272">
        <v>83166</v>
      </c>
      <c r="I15" s="14">
        <v>41583</v>
      </c>
      <c r="J15" s="461"/>
      <c r="K15" s="467"/>
    </row>
    <row r="16" spans="1:11" x14ac:dyDescent="0.25">
      <c r="A16" s="9"/>
      <c r="B16" s="10"/>
      <c r="C16" s="138"/>
      <c r="D16" s="19"/>
      <c r="E16" s="10"/>
      <c r="F16" s="138"/>
      <c r="G16" s="12"/>
      <c r="H16" s="272"/>
      <c r="I16" s="14"/>
      <c r="J16" s="461"/>
      <c r="K16" s="467"/>
    </row>
    <row r="17" spans="1:11" x14ac:dyDescent="0.25">
      <c r="A17" s="9"/>
      <c r="B17" s="10"/>
      <c r="C17" s="138"/>
      <c r="D17" s="9"/>
      <c r="E17" s="10"/>
      <c r="F17" s="138"/>
      <c r="G17" s="12"/>
      <c r="H17" s="272"/>
      <c r="I17" s="14"/>
      <c r="J17" s="461"/>
      <c r="K17" s="467"/>
    </row>
    <row r="18" spans="1:11" x14ac:dyDescent="0.25">
      <c r="A18" s="9"/>
      <c r="B18" s="10"/>
      <c r="C18" s="138"/>
      <c r="D18" s="19"/>
      <c r="E18" s="10"/>
      <c r="F18" s="138"/>
      <c r="G18" s="12"/>
      <c r="H18" s="272"/>
      <c r="I18" s="14"/>
      <c r="J18" s="461"/>
      <c r="K18" s="467"/>
    </row>
    <row r="19" spans="1:11" x14ac:dyDescent="0.25">
      <c r="A19" s="9"/>
      <c r="B19" s="10"/>
      <c r="C19" s="138"/>
      <c r="D19" s="19"/>
      <c r="E19" s="10"/>
      <c r="F19" s="138"/>
      <c r="G19" s="12"/>
      <c r="H19" s="272"/>
      <c r="I19" s="14"/>
      <c r="J19" s="461"/>
      <c r="K19" s="467"/>
    </row>
    <row r="20" spans="1:11" x14ac:dyDescent="0.25">
      <c r="A20" s="9"/>
      <c r="B20" s="10"/>
      <c r="C20" s="138"/>
      <c r="D20" s="9"/>
      <c r="E20" s="10"/>
      <c r="F20" s="138"/>
      <c r="G20" s="12"/>
      <c r="H20" s="272"/>
      <c r="I20" s="14"/>
      <c r="J20" s="461"/>
      <c r="K20" s="467"/>
    </row>
    <row r="21" spans="1:11" x14ac:dyDescent="0.25">
      <c r="A21" s="9"/>
      <c r="B21" s="10"/>
      <c r="C21" s="138"/>
      <c r="D21" s="19"/>
      <c r="E21" s="10"/>
      <c r="F21" s="138"/>
      <c r="G21" s="12"/>
      <c r="H21" s="272"/>
      <c r="I21" s="14"/>
      <c r="J21" s="461"/>
      <c r="K21" s="467"/>
    </row>
    <row r="22" spans="1:11" x14ac:dyDescent="0.25">
      <c r="A22" s="9"/>
      <c r="B22" s="10"/>
      <c r="C22" s="138"/>
      <c r="D22" s="19"/>
      <c r="E22" s="10"/>
      <c r="F22" s="138"/>
      <c r="G22" s="12"/>
      <c r="H22" s="13"/>
      <c r="I22" s="14"/>
      <c r="J22" s="461"/>
      <c r="K22" s="467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61"/>
      <c r="K23" s="467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19"/>
      <c r="E26" s="10"/>
      <c r="F26" s="138"/>
      <c r="G26" s="12"/>
      <c r="H26" s="13"/>
      <c r="I26" s="14"/>
      <c r="J26" s="448"/>
      <c r="K26" s="449"/>
    </row>
    <row r="27" spans="1:11" x14ac:dyDescent="0.25">
      <c r="A27" s="9"/>
      <c r="B27" s="10"/>
      <c r="C27" s="138"/>
      <c r="D27" s="19"/>
      <c r="E27" s="10"/>
      <c r="F27" s="138"/>
      <c r="G27" s="12"/>
      <c r="H27" s="13"/>
      <c r="I27" s="14"/>
      <c r="J27" s="448"/>
      <c r="K27" s="449"/>
    </row>
    <row r="28" spans="1:11" x14ac:dyDescent="0.25">
      <c r="A28" s="97"/>
      <c r="B28" s="97"/>
      <c r="C28" s="98"/>
      <c r="D28" s="99"/>
      <c r="E28" s="100"/>
      <c r="F28" s="100"/>
      <c r="G28" s="100"/>
      <c r="H28" s="100"/>
      <c r="I28" s="341"/>
      <c r="J28" s="448"/>
      <c r="K28" s="449"/>
    </row>
    <row r="29" spans="1:11" x14ac:dyDescent="0.25">
      <c r="A29" s="97"/>
      <c r="B29" s="97"/>
      <c r="C29" s="101"/>
      <c r="D29" s="101"/>
      <c r="E29" s="100"/>
      <c r="F29" s="100"/>
      <c r="G29" s="100"/>
      <c r="H29" s="100"/>
      <c r="I29" s="341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350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350"/>
      <c r="J32" s="448"/>
      <c r="K32" s="449"/>
    </row>
    <row r="33" spans="1:11" x14ac:dyDescent="0.25">
      <c r="A33" s="456"/>
      <c r="B33" s="456"/>
      <c r="C33" s="456"/>
      <c r="D33" s="456"/>
      <c r="E33" s="346"/>
      <c r="F33" s="346"/>
      <c r="G33" s="346"/>
      <c r="H33" s="108" t="s">
        <v>47</v>
      </c>
      <c r="I33" s="109">
        <f>SUM(I12:I32)</f>
        <v>166332</v>
      </c>
      <c r="J33" s="457"/>
      <c r="K33" s="457"/>
    </row>
    <row r="34" spans="1:11" x14ac:dyDescent="0.25">
      <c r="A34" s="456"/>
      <c r="B34" s="456"/>
      <c r="C34" s="456"/>
      <c r="D34" s="456"/>
      <c r="E34" s="346"/>
      <c r="F34" s="346"/>
      <c r="G34" s="346"/>
      <c r="H34" s="346"/>
      <c r="I34" s="110"/>
      <c r="J34" s="110"/>
      <c r="K34" s="110"/>
    </row>
    <row r="35" spans="1:11" x14ac:dyDescent="0.25">
      <c r="A35" s="111" t="s">
        <v>297</v>
      </c>
      <c r="B35" s="112"/>
      <c r="C35" s="112"/>
      <c r="D35" s="112"/>
      <c r="E35" s="113"/>
      <c r="F35" s="113"/>
      <c r="G35" s="113"/>
      <c r="H35" s="113"/>
      <c r="I35" s="110"/>
      <c r="J35" s="110"/>
      <c r="K35" s="346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346"/>
    </row>
    <row r="37" spans="1:11" x14ac:dyDescent="0.25">
      <c r="A37" s="114"/>
      <c r="B37" s="114"/>
      <c r="C37" s="114"/>
      <c r="D37" s="114"/>
      <c r="E37" s="114"/>
      <c r="F37" s="114"/>
      <c r="G37" s="114"/>
      <c r="H37" s="142"/>
      <c r="I37" s="390" t="s">
        <v>61</v>
      </c>
      <c r="J37" s="390"/>
      <c r="K37" s="390"/>
    </row>
    <row r="38" spans="1:11" x14ac:dyDescent="0.25">
      <c r="A38" s="114"/>
      <c r="B38" s="114"/>
      <c r="C38" s="114"/>
      <c r="D38" s="114"/>
      <c r="E38" s="114"/>
      <c r="F38" s="114"/>
      <c r="G38" s="114"/>
      <c r="H38" s="141"/>
      <c r="I38" s="437" t="s">
        <v>38</v>
      </c>
      <c r="J38" s="437"/>
      <c r="K38" s="437"/>
    </row>
    <row r="39" spans="1:11" x14ac:dyDescent="0.25">
      <c r="A39" s="460" t="s">
        <v>39</v>
      </c>
      <c r="B39" s="460"/>
      <c r="C39" s="460"/>
      <c r="D39" s="460"/>
      <c r="E39" s="460"/>
      <c r="F39" s="460"/>
      <c r="G39" s="460"/>
      <c r="H39" s="460"/>
      <c r="I39" s="86"/>
      <c r="J39" s="116"/>
    </row>
    <row r="40" spans="1:11" x14ac:dyDescent="0.25">
      <c r="A40" s="460" t="s">
        <v>296</v>
      </c>
      <c r="B40" s="460"/>
      <c r="C40" s="460"/>
      <c r="D40" s="460"/>
      <c r="E40" s="460"/>
      <c r="F40" s="460"/>
      <c r="G40" s="460"/>
      <c r="H40" s="460"/>
      <c r="I40" s="464" t="s">
        <v>64</v>
      </c>
      <c r="J40" s="464"/>
      <c r="K40" s="464"/>
    </row>
    <row r="41" spans="1:11" x14ac:dyDescent="0.25">
      <c r="A41" s="86"/>
      <c r="B41" s="86"/>
      <c r="C41" s="86"/>
      <c r="D41" s="86"/>
      <c r="E41" s="86"/>
      <c r="F41" s="86"/>
      <c r="G41" s="86"/>
      <c r="H41" s="86"/>
      <c r="I41" s="389" t="s">
        <v>40</v>
      </c>
      <c r="J41" s="389"/>
      <c r="K41" s="389"/>
    </row>
    <row r="42" spans="1:11" x14ac:dyDescent="0.25">
      <c r="A42" s="458"/>
      <c r="B42" s="458"/>
      <c r="C42" s="346"/>
      <c r="D42" s="346"/>
      <c r="E42" s="346"/>
      <c r="F42" s="346"/>
      <c r="G42" s="346"/>
      <c r="H42" s="346"/>
      <c r="I42" s="389"/>
      <c r="J42" s="389"/>
      <c r="K42" s="389"/>
    </row>
    <row r="43" spans="1:11" x14ac:dyDescent="0.25">
      <c r="A43" s="458"/>
      <c r="B43" s="458"/>
      <c r="C43" s="346"/>
      <c r="D43" s="346"/>
      <c r="E43" s="346"/>
      <c r="F43" s="346"/>
      <c r="G43" s="346"/>
      <c r="H43" s="390"/>
      <c r="I43" s="390"/>
      <c r="J43" s="390"/>
      <c r="K43" s="390"/>
    </row>
    <row r="44" spans="1:11" x14ac:dyDescent="0.25">
      <c r="A44" s="349"/>
      <c r="B44" s="345"/>
      <c r="C44" s="345"/>
      <c r="D44" s="345"/>
      <c r="E44" s="345"/>
      <c r="F44" s="117"/>
      <c r="G44" s="117"/>
      <c r="H44" s="437"/>
      <c r="I44" s="437"/>
      <c r="J44" s="437"/>
      <c r="K44" s="437"/>
    </row>
    <row r="45" spans="1:11" x14ac:dyDescent="0.25">
      <c r="A45" s="349"/>
      <c r="B45" s="345"/>
      <c r="C45" s="346"/>
      <c r="D45" s="346"/>
      <c r="E45" s="346"/>
      <c r="F45" s="117"/>
      <c r="G45" s="117"/>
      <c r="H45" s="117"/>
      <c r="I45" s="86"/>
      <c r="J45" s="86"/>
      <c r="K45" s="86"/>
    </row>
    <row r="46" spans="1:11" x14ac:dyDescent="0.25">
      <c r="A46" s="117"/>
      <c r="B46" s="345"/>
      <c r="C46" s="115"/>
      <c r="D46" s="115"/>
      <c r="E46" s="115"/>
      <c r="F46" s="115"/>
      <c r="G46" s="115"/>
      <c r="H46" s="115"/>
    </row>
  </sheetData>
  <mergeCells count="48">
    <mergeCell ref="A42:B43"/>
    <mergeCell ref="I42:K42"/>
    <mergeCell ref="H43:K43"/>
    <mergeCell ref="H44:K44"/>
    <mergeCell ref="I37:K37"/>
    <mergeCell ref="I38:K38"/>
    <mergeCell ref="A39:H39"/>
    <mergeCell ref="A40:H40"/>
    <mergeCell ref="I40:K40"/>
    <mergeCell ref="I41:K41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5"/>
  <sheetViews>
    <sheetView topLeftCell="A19" workbookViewId="0">
      <selection activeCell="A9" sqref="A9:K9"/>
    </sheetView>
  </sheetViews>
  <sheetFormatPr baseColWidth="10" defaultRowHeight="15" x14ac:dyDescent="0.25"/>
  <cols>
    <col min="1" max="1" width="4.85546875" style="228" customWidth="1"/>
    <col min="2" max="2" width="5.28515625" style="228" customWidth="1"/>
    <col min="3" max="3" width="7.28515625" style="228" customWidth="1"/>
    <col min="4" max="4" width="4.5703125" style="228" customWidth="1"/>
    <col min="5" max="5" width="5.5703125" style="228" customWidth="1"/>
    <col min="6" max="6" width="7.28515625" style="228" customWidth="1"/>
    <col min="7" max="7" width="5.42578125" style="228" customWidth="1"/>
    <col min="8" max="8" width="16" style="228" customWidth="1"/>
    <col min="9" max="9" width="13.85546875" style="228" customWidth="1"/>
    <col min="10" max="10" width="6" style="228" customWidth="1"/>
    <col min="11" max="11" width="9.855468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175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277"/>
      <c r="C10" s="278"/>
      <c r="D10" s="276" t="s">
        <v>6</v>
      </c>
      <c r="E10" s="277"/>
      <c r="F10" s="278"/>
      <c r="G10" s="276" t="s">
        <v>7</v>
      </c>
      <c r="H10" s="278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5</v>
      </c>
      <c r="B12" s="10">
        <v>6</v>
      </c>
      <c r="C12" s="138" t="s">
        <v>322</v>
      </c>
      <c r="D12" s="9">
        <v>5</v>
      </c>
      <c r="E12" s="10">
        <v>6</v>
      </c>
      <c r="F12" s="138" t="s">
        <v>224</v>
      </c>
      <c r="G12" s="12">
        <v>0.5</v>
      </c>
      <c r="H12" s="272">
        <v>84366</v>
      </c>
      <c r="I12" s="14">
        <v>42183</v>
      </c>
      <c r="J12" s="461"/>
      <c r="K12" s="467"/>
    </row>
    <row r="13" spans="1:11" x14ac:dyDescent="0.25">
      <c r="A13" s="9">
        <v>18</v>
      </c>
      <c r="B13" s="10">
        <v>6</v>
      </c>
      <c r="C13" s="138" t="s">
        <v>359</v>
      </c>
      <c r="D13" s="19">
        <v>18</v>
      </c>
      <c r="E13" s="10">
        <v>6</v>
      </c>
      <c r="F13" s="138" t="s">
        <v>224</v>
      </c>
      <c r="G13" s="12">
        <v>0.5</v>
      </c>
      <c r="H13" s="272">
        <v>84366</v>
      </c>
      <c r="I13" s="14">
        <v>42183</v>
      </c>
      <c r="J13" s="461"/>
      <c r="K13" s="467"/>
    </row>
    <row r="14" spans="1:11" x14ac:dyDescent="0.25">
      <c r="A14" s="9"/>
      <c r="B14" s="10"/>
      <c r="C14" s="138"/>
      <c r="D14" s="19"/>
      <c r="E14" s="10"/>
      <c r="F14" s="138"/>
      <c r="G14" s="12"/>
      <c r="H14" s="272"/>
      <c r="I14" s="14"/>
      <c r="J14" s="461"/>
      <c r="K14" s="467"/>
    </row>
    <row r="15" spans="1:11" x14ac:dyDescent="0.25">
      <c r="A15" s="9"/>
      <c r="B15" s="10"/>
      <c r="C15" s="138"/>
      <c r="D15" s="19"/>
      <c r="E15" s="10"/>
      <c r="F15" s="139"/>
      <c r="G15" s="12"/>
      <c r="H15" s="13"/>
      <c r="I15" s="14"/>
      <c r="J15" s="461"/>
      <c r="K15" s="467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461"/>
      <c r="K16" s="467"/>
    </row>
    <row r="17" spans="1:11" x14ac:dyDescent="0.25">
      <c r="A17" s="9"/>
      <c r="B17" s="10"/>
      <c r="C17" s="138"/>
      <c r="D17" s="19"/>
      <c r="E17" s="10"/>
      <c r="F17" s="139"/>
      <c r="G17" s="12"/>
      <c r="H17" s="13"/>
      <c r="I17" s="14"/>
      <c r="J17" s="461"/>
      <c r="K17" s="467"/>
    </row>
    <row r="18" spans="1:1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61"/>
      <c r="K18" s="467"/>
    </row>
    <row r="19" spans="1:1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61"/>
      <c r="K19" s="467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61"/>
      <c r="K20" s="467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61"/>
      <c r="K21" s="467"/>
    </row>
    <row r="22" spans="1:11" x14ac:dyDescent="0.25">
      <c r="A22" s="9"/>
      <c r="B22" s="10"/>
      <c r="C22" s="138"/>
      <c r="D22" s="19"/>
      <c r="E22" s="10"/>
      <c r="F22" s="138"/>
      <c r="G22" s="12"/>
      <c r="H22" s="13"/>
      <c r="I22" s="14"/>
      <c r="J22" s="461"/>
      <c r="K22" s="467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61"/>
      <c r="K23" s="467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19"/>
      <c r="E26" s="10"/>
      <c r="F26" s="138"/>
      <c r="G26" s="12"/>
      <c r="H26" s="13"/>
      <c r="I26" s="14"/>
      <c r="J26" s="448"/>
      <c r="K26" s="449"/>
    </row>
    <row r="27" spans="1:11" x14ac:dyDescent="0.25">
      <c r="A27" s="9"/>
      <c r="B27" s="10"/>
      <c r="C27" s="138"/>
      <c r="D27" s="19"/>
      <c r="E27" s="10"/>
      <c r="F27" s="138"/>
      <c r="G27" s="12"/>
      <c r="H27" s="13"/>
      <c r="I27" s="14"/>
      <c r="J27" s="448"/>
      <c r="K27" s="449"/>
    </row>
    <row r="28" spans="1:11" x14ac:dyDescent="0.25">
      <c r="A28" s="97"/>
      <c r="B28" s="97"/>
      <c r="C28" s="98"/>
      <c r="D28" s="99"/>
      <c r="E28" s="100"/>
      <c r="F28" s="100"/>
      <c r="G28" s="100"/>
      <c r="H28" s="100"/>
      <c r="I28" s="274"/>
      <c r="J28" s="448"/>
      <c r="K28" s="449"/>
    </row>
    <row r="29" spans="1:11" x14ac:dyDescent="0.25">
      <c r="A29" s="97"/>
      <c r="B29" s="97"/>
      <c r="C29" s="101"/>
      <c r="D29" s="101"/>
      <c r="E29" s="100"/>
      <c r="F29" s="100"/>
      <c r="G29" s="100"/>
      <c r="H29" s="100"/>
      <c r="I29" s="274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287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287"/>
      <c r="J32" s="448"/>
      <c r="K32" s="449"/>
    </row>
    <row r="33" spans="1:11" x14ac:dyDescent="0.25">
      <c r="A33" s="456"/>
      <c r="B33" s="456"/>
      <c r="C33" s="456"/>
      <c r="D33" s="456"/>
      <c r="E33" s="281"/>
      <c r="F33" s="281"/>
      <c r="G33" s="281"/>
      <c r="H33" s="108" t="s">
        <v>47</v>
      </c>
      <c r="I33" s="109">
        <f>SUM(I12:I29)</f>
        <v>84366</v>
      </c>
      <c r="J33" s="457"/>
      <c r="K33" s="457"/>
    </row>
    <row r="34" spans="1:11" x14ac:dyDescent="0.25">
      <c r="A34" s="456"/>
      <c r="B34" s="456"/>
      <c r="C34" s="456"/>
      <c r="D34" s="456"/>
      <c r="E34" s="281"/>
      <c r="F34" s="281"/>
      <c r="G34" s="281"/>
      <c r="H34" s="281"/>
      <c r="I34" s="110"/>
      <c r="J34" s="110"/>
      <c r="K34" s="110"/>
    </row>
    <row r="35" spans="1:11" x14ac:dyDescent="0.25">
      <c r="A35" s="111" t="s">
        <v>418</v>
      </c>
      <c r="B35" s="112"/>
      <c r="C35" s="112"/>
      <c r="D35" s="112"/>
      <c r="E35" s="113"/>
      <c r="F35" s="113"/>
      <c r="G35" s="113"/>
      <c r="H35" s="113"/>
      <c r="I35" s="110"/>
      <c r="J35" s="110"/>
      <c r="K35" s="281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281"/>
    </row>
    <row r="37" spans="1:11" x14ac:dyDescent="0.25">
      <c r="A37" s="114"/>
      <c r="B37" s="114"/>
      <c r="C37" s="114"/>
      <c r="D37" s="114"/>
      <c r="E37" s="114"/>
      <c r="F37" s="114"/>
      <c r="G37" s="114"/>
      <c r="H37" s="142"/>
      <c r="I37" s="390" t="s">
        <v>237</v>
      </c>
      <c r="J37" s="390"/>
      <c r="K37" s="390"/>
    </row>
    <row r="38" spans="1:11" x14ac:dyDescent="0.25">
      <c r="A38" s="114"/>
      <c r="B38" s="114"/>
      <c r="C38" s="114"/>
      <c r="D38" s="114"/>
      <c r="E38" s="114"/>
      <c r="F38" s="114"/>
      <c r="G38" s="114"/>
      <c r="H38" s="141"/>
      <c r="I38" s="437" t="s">
        <v>38</v>
      </c>
      <c r="J38" s="437"/>
      <c r="K38" s="437"/>
    </row>
    <row r="39" spans="1:11" x14ac:dyDescent="0.25">
      <c r="A39" s="460" t="s">
        <v>143</v>
      </c>
      <c r="B39" s="460"/>
      <c r="C39" s="460"/>
      <c r="D39" s="460"/>
      <c r="E39" s="460"/>
      <c r="F39" s="460"/>
      <c r="G39" s="460"/>
      <c r="H39" s="460"/>
      <c r="I39" s="86"/>
      <c r="J39" s="116"/>
    </row>
    <row r="40" spans="1:11" x14ac:dyDescent="0.25">
      <c r="A40" s="86" t="s">
        <v>419</v>
      </c>
      <c r="B40" s="86"/>
      <c r="C40" s="86"/>
      <c r="D40" s="86"/>
      <c r="E40" s="86"/>
      <c r="F40" s="86"/>
      <c r="G40" s="86"/>
      <c r="H40" s="86"/>
      <c r="I40" s="389" t="s">
        <v>238</v>
      </c>
      <c r="J40" s="389"/>
      <c r="K40" s="389"/>
    </row>
    <row r="41" spans="1:11" x14ac:dyDescent="0.25">
      <c r="A41" s="458"/>
      <c r="B41" s="458"/>
      <c r="C41" s="281"/>
      <c r="D41" s="281"/>
      <c r="E41" s="281"/>
      <c r="F41" s="281"/>
      <c r="G41" s="281"/>
      <c r="H41" s="260"/>
      <c r="I41" s="389" t="s">
        <v>40</v>
      </c>
      <c r="J41" s="389"/>
      <c r="K41" s="389"/>
    </row>
    <row r="42" spans="1:11" x14ac:dyDescent="0.25">
      <c r="A42" s="458"/>
      <c r="B42" s="458"/>
      <c r="C42" s="281"/>
      <c r="D42" s="281"/>
      <c r="E42" s="281"/>
      <c r="F42" s="281"/>
      <c r="G42" s="281"/>
      <c r="H42" s="468"/>
      <c r="I42" s="468"/>
      <c r="J42" s="468"/>
      <c r="K42" s="468"/>
    </row>
    <row r="43" spans="1:11" x14ac:dyDescent="0.25">
      <c r="A43" s="286"/>
      <c r="B43" s="282"/>
      <c r="C43" s="282"/>
      <c r="D43" s="282"/>
      <c r="E43" s="282"/>
      <c r="F43" s="117"/>
      <c r="G43" s="117"/>
      <c r="H43" s="437"/>
      <c r="I43" s="437"/>
      <c r="J43" s="437"/>
      <c r="K43" s="437"/>
    </row>
    <row r="44" spans="1:11" x14ac:dyDescent="0.25">
      <c r="A44" s="286"/>
      <c r="B44" s="282"/>
      <c r="C44" s="281"/>
      <c r="D44" s="281"/>
      <c r="E44" s="281"/>
      <c r="F44" s="117"/>
      <c r="G44" s="117"/>
      <c r="H44" s="117"/>
      <c r="I44" s="86"/>
      <c r="J44" s="86"/>
      <c r="K44" s="86"/>
    </row>
    <row r="45" spans="1:11" x14ac:dyDescent="0.25">
      <c r="A45" s="117"/>
      <c r="B45" s="282"/>
      <c r="C45" s="115"/>
      <c r="D45" s="115"/>
      <c r="E45" s="115"/>
      <c r="F45" s="115"/>
      <c r="G45" s="115"/>
      <c r="H45" s="115"/>
    </row>
  </sheetData>
  <mergeCells count="46"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H43:K43"/>
    <mergeCell ref="I37:K37"/>
    <mergeCell ref="I38:K38"/>
    <mergeCell ref="A39:H39"/>
    <mergeCell ref="I40:K40"/>
    <mergeCell ref="A41:B42"/>
    <mergeCell ref="I41:K41"/>
    <mergeCell ref="H42:K42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5"/>
  <sheetViews>
    <sheetView workbookViewId="0">
      <selection activeCell="A10" sqref="A1:K1048576"/>
    </sheetView>
  </sheetViews>
  <sheetFormatPr baseColWidth="10" defaultRowHeight="15" x14ac:dyDescent="0.25"/>
  <cols>
    <col min="1" max="1" width="4.85546875" customWidth="1"/>
    <col min="2" max="2" width="5.28515625" customWidth="1"/>
    <col min="3" max="3" width="7.28515625" customWidth="1"/>
    <col min="4" max="4" width="4.5703125" customWidth="1"/>
    <col min="5" max="5" width="5.5703125" customWidth="1"/>
    <col min="6" max="6" width="7.28515625" customWidth="1"/>
    <col min="7" max="7" width="5.42578125" customWidth="1"/>
    <col min="8" max="8" width="16" customWidth="1"/>
    <col min="9" max="9" width="13.85546875" customWidth="1"/>
    <col min="10" max="10" width="6" customWidth="1"/>
    <col min="11" max="11" width="9.85546875" customWidth="1"/>
  </cols>
  <sheetData>
    <row r="1" spans="1:11" ht="1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154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45962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208"/>
      <c r="C10" s="209"/>
      <c r="D10" s="207" t="s">
        <v>6</v>
      </c>
      <c r="E10" s="208"/>
      <c r="F10" s="209"/>
      <c r="G10" s="207" t="s">
        <v>7</v>
      </c>
      <c r="H10" s="209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9">
        <v>25</v>
      </c>
      <c r="B12" s="10">
        <v>11</v>
      </c>
      <c r="C12" s="138" t="s">
        <v>149</v>
      </c>
      <c r="D12" s="19">
        <v>25</v>
      </c>
      <c r="E12" s="10">
        <v>11</v>
      </c>
      <c r="F12" s="138" t="s">
        <v>152</v>
      </c>
      <c r="G12" s="12">
        <v>0.5</v>
      </c>
      <c r="H12" s="13">
        <v>72151</v>
      </c>
      <c r="I12" s="14">
        <f t="shared" ref="I12" si="0">H12*G12</f>
        <v>36075.5</v>
      </c>
      <c r="J12" s="461"/>
      <c r="K12" s="467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461"/>
      <c r="K13" s="467"/>
    </row>
    <row r="14" spans="1:11" x14ac:dyDescent="0.25">
      <c r="A14" s="9"/>
      <c r="B14" s="10"/>
      <c r="C14" s="138"/>
      <c r="D14" s="9"/>
      <c r="E14" s="10"/>
      <c r="F14" s="138"/>
      <c r="G14" s="12"/>
      <c r="H14" s="13"/>
      <c r="I14" s="14"/>
      <c r="J14" s="461"/>
      <c r="K14" s="467"/>
    </row>
    <row r="15" spans="1:11" x14ac:dyDescent="0.25">
      <c r="A15" s="9"/>
      <c r="B15" s="10"/>
      <c r="C15" s="138"/>
      <c r="D15" s="19"/>
      <c r="E15" s="10"/>
      <c r="F15" s="139"/>
      <c r="G15" s="12"/>
      <c r="H15" s="13"/>
      <c r="I15" s="14"/>
      <c r="J15" s="461"/>
      <c r="K15" s="467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461"/>
      <c r="K16" s="467"/>
    </row>
    <row r="17" spans="1:11" x14ac:dyDescent="0.25">
      <c r="A17" s="9"/>
      <c r="B17" s="10"/>
      <c r="C17" s="138"/>
      <c r="D17" s="19"/>
      <c r="E17" s="10"/>
      <c r="F17" s="139"/>
      <c r="G17" s="12"/>
      <c r="H17" s="13"/>
      <c r="I17" s="14"/>
      <c r="J17" s="461"/>
      <c r="K17" s="467"/>
    </row>
    <row r="18" spans="1:1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61"/>
      <c r="K18" s="467"/>
    </row>
    <row r="19" spans="1:1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61"/>
      <c r="K19" s="467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61"/>
      <c r="K20" s="467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61"/>
      <c r="K21" s="467"/>
    </row>
    <row r="22" spans="1:11" x14ac:dyDescent="0.25">
      <c r="A22" s="9"/>
      <c r="B22" s="10"/>
      <c r="C22" s="138"/>
      <c r="D22" s="19"/>
      <c r="E22" s="10"/>
      <c r="F22" s="138"/>
      <c r="G22" s="12"/>
      <c r="H22" s="13"/>
      <c r="I22" s="14"/>
      <c r="J22" s="461"/>
      <c r="K22" s="467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61"/>
      <c r="K23" s="467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19"/>
      <c r="E26" s="10"/>
      <c r="F26" s="138"/>
      <c r="G26" s="12"/>
      <c r="H26" s="13"/>
      <c r="I26" s="14"/>
      <c r="J26" s="448"/>
      <c r="K26" s="449"/>
    </row>
    <row r="27" spans="1:11" x14ac:dyDescent="0.25">
      <c r="A27" s="9"/>
      <c r="B27" s="10"/>
      <c r="C27" s="138"/>
      <c r="D27" s="19"/>
      <c r="E27" s="10"/>
      <c r="F27" s="138"/>
      <c r="G27" s="12"/>
      <c r="H27" s="13"/>
      <c r="I27" s="14"/>
      <c r="J27" s="448"/>
      <c r="K27" s="449"/>
    </row>
    <row r="28" spans="1:11" x14ac:dyDescent="0.25">
      <c r="A28" s="97"/>
      <c r="B28" s="97"/>
      <c r="C28" s="98"/>
      <c r="D28" s="99"/>
      <c r="E28" s="100"/>
      <c r="F28" s="100"/>
      <c r="G28" s="100"/>
      <c r="H28" s="100"/>
      <c r="I28" s="205"/>
      <c r="J28" s="448"/>
      <c r="K28" s="449"/>
    </row>
    <row r="29" spans="1:11" x14ac:dyDescent="0.25">
      <c r="A29" s="97"/>
      <c r="B29" s="97"/>
      <c r="C29" s="101"/>
      <c r="D29" s="101"/>
      <c r="E29" s="100"/>
      <c r="F29" s="100"/>
      <c r="G29" s="100"/>
      <c r="H29" s="100"/>
      <c r="I29" s="205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217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217"/>
      <c r="J32" s="448"/>
      <c r="K32" s="449"/>
    </row>
    <row r="33" spans="1:11" x14ac:dyDescent="0.25">
      <c r="A33" s="456"/>
      <c r="B33" s="456"/>
      <c r="C33" s="456"/>
      <c r="D33" s="456"/>
      <c r="E33" s="213"/>
      <c r="F33" s="213"/>
      <c r="G33" s="213"/>
      <c r="H33" s="108" t="s">
        <v>47</v>
      </c>
      <c r="I33" s="109">
        <f>SUM(I12:I29)</f>
        <v>36075.5</v>
      </c>
      <c r="J33" s="457"/>
      <c r="K33" s="457"/>
    </row>
    <row r="34" spans="1:11" x14ac:dyDescent="0.25">
      <c r="A34" s="456"/>
      <c r="B34" s="456"/>
      <c r="C34" s="456"/>
      <c r="D34" s="456"/>
      <c r="E34" s="213"/>
      <c r="F34" s="213"/>
      <c r="G34" s="213"/>
      <c r="H34" s="213"/>
      <c r="I34" s="110"/>
      <c r="J34" s="110"/>
      <c r="K34" s="110"/>
    </row>
    <row r="35" spans="1:11" x14ac:dyDescent="0.25">
      <c r="A35" s="111" t="s">
        <v>159</v>
      </c>
      <c r="B35" s="112"/>
      <c r="C35" s="112"/>
      <c r="D35" s="112"/>
      <c r="E35" s="113"/>
      <c r="F35" s="113"/>
      <c r="G35" s="113"/>
      <c r="H35" s="113"/>
      <c r="I35" s="110"/>
      <c r="J35" s="110"/>
      <c r="K35" s="213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213"/>
    </row>
    <row r="37" spans="1:11" x14ac:dyDescent="0.25">
      <c r="A37" s="114"/>
      <c r="B37" s="114"/>
      <c r="C37" s="114"/>
      <c r="D37" s="114"/>
      <c r="E37" s="114"/>
      <c r="F37" s="114"/>
      <c r="G37" s="114"/>
      <c r="H37" s="142" t="s">
        <v>61</v>
      </c>
      <c r="I37" s="390"/>
      <c r="J37" s="390"/>
      <c r="K37" s="390"/>
    </row>
    <row r="38" spans="1:11" x14ac:dyDescent="0.25">
      <c r="A38" s="114"/>
      <c r="B38" s="114"/>
      <c r="C38" s="114"/>
      <c r="D38" s="114"/>
      <c r="E38" s="114"/>
      <c r="F38" s="114"/>
      <c r="G38" s="114"/>
      <c r="H38" s="141" t="s">
        <v>38</v>
      </c>
      <c r="I38" s="437"/>
      <c r="J38" s="437"/>
      <c r="K38" s="437"/>
    </row>
    <row r="39" spans="1:11" x14ac:dyDescent="0.25">
      <c r="A39" s="460" t="s">
        <v>143</v>
      </c>
      <c r="B39" s="460"/>
      <c r="C39" s="460"/>
      <c r="D39" s="460"/>
      <c r="E39" s="460"/>
      <c r="F39" s="460"/>
      <c r="G39" s="460"/>
      <c r="H39" s="460"/>
      <c r="I39" s="86"/>
      <c r="J39" s="116"/>
    </row>
    <row r="40" spans="1:11" x14ac:dyDescent="0.25">
      <c r="A40" s="86" t="s">
        <v>157</v>
      </c>
      <c r="B40" s="86"/>
      <c r="C40" s="86"/>
      <c r="D40" s="86"/>
      <c r="E40" s="86"/>
      <c r="F40" s="86"/>
      <c r="G40" s="86"/>
      <c r="H40" s="86" t="s">
        <v>161</v>
      </c>
      <c r="I40" s="389"/>
      <c r="J40" s="389"/>
      <c r="K40" s="389"/>
    </row>
    <row r="41" spans="1:11" x14ac:dyDescent="0.25">
      <c r="A41" s="458"/>
      <c r="B41" s="458"/>
      <c r="C41" s="213"/>
      <c r="D41" s="213"/>
      <c r="E41" s="213"/>
      <c r="F41" s="213"/>
      <c r="G41" s="213"/>
      <c r="H41" s="260" t="s">
        <v>40</v>
      </c>
      <c r="I41" s="389"/>
      <c r="J41" s="389"/>
      <c r="K41" s="389"/>
    </row>
    <row r="42" spans="1:11" x14ac:dyDescent="0.25">
      <c r="A42" s="458"/>
      <c r="B42" s="458"/>
      <c r="C42" s="213"/>
      <c r="D42" s="213"/>
      <c r="E42" s="213"/>
      <c r="F42" s="213"/>
      <c r="G42" s="213"/>
      <c r="H42" s="390"/>
      <c r="I42" s="390"/>
      <c r="J42" s="390"/>
      <c r="K42" s="390"/>
    </row>
    <row r="43" spans="1:11" x14ac:dyDescent="0.25">
      <c r="A43" s="216"/>
      <c r="B43" s="212"/>
      <c r="C43" s="212"/>
      <c r="D43" s="212"/>
      <c r="E43" s="212"/>
      <c r="F43" s="117"/>
      <c r="G43" s="117"/>
      <c r="H43" s="437"/>
      <c r="I43" s="437"/>
      <c r="J43" s="437"/>
      <c r="K43" s="437"/>
    </row>
    <row r="44" spans="1:11" x14ac:dyDescent="0.25">
      <c r="A44" s="216"/>
      <c r="B44" s="212"/>
      <c r="C44" s="213"/>
      <c r="D44" s="213"/>
      <c r="E44" s="213"/>
      <c r="F44" s="117"/>
      <c r="G44" s="117"/>
      <c r="H44" s="117"/>
      <c r="I44" s="86"/>
      <c r="J44" s="86"/>
      <c r="K44" s="86"/>
    </row>
    <row r="45" spans="1:11" x14ac:dyDescent="0.25">
      <c r="A45" s="117"/>
      <c r="B45" s="212"/>
      <c r="C45" s="115"/>
      <c r="D45" s="115"/>
      <c r="E45" s="115"/>
      <c r="F45" s="115"/>
      <c r="G45" s="115"/>
      <c r="H45" s="115"/>
    </row>
  </sheetData>
  <mergeCells count="46">
    <mergeCell ref="A41:B42"/>
    <mergeCell ref="H42:K42"/>
    <mergeCell ref="I37:K37"/>
    <mergeCell ref="I38:K38"/>
    <mergeCell ref="A39:H39"/>
    <mergeCell ref="I40:K40"/>
    <mergeCell ref="I41:K41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J19:K19"/>
    <mergeCell ref="J20:K20"/>
    <mergeCell ref="J21:K21"/>
    <mergeCell ref="J22:K22"/>
    <mergeCell ref="J23:K23"/>
    <mergeCell ref="J14:K14"/>
    <mergeCell ref="J15:K15"/>
    <mergeCell ref="J16:K16"/>
    <mergeCell ref="J17:K17"/>
    <mergeCell ref="J18:K18"/>
    <mergeCell ref="H43:K43"/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  <mergeCell ref="J24:K24"/>
    <mergeCell ref="J13:K13"/>
  </mergeCells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5"/>
  <sheetViews>
    <sheetView workbookViewId="0">
      <selection activeCell="G44" sqref="G44"/>
    </sheetView>
  </sheetViews>
  <sheetFormatPr baseColWidth="10" defaultRowHeight="15" x14ac:dyDescent="0.25"/>
  <cols>
    <col min="1" max="1" width="4.85546875" style="228" customWidth="1"/>
    <col min="2" max="2" width="5.28515625" style="228" customWidth="1"/>
    <col min="3" max="3" width="7.28515625" style="228" customWidth="1"/>
    <col min="4" max="4" width="4.5703125" style="228" customWidth="1"/>
    <col min="5" max="5" width="5.5703125" style="228" customWidth="1"/>
    <col min="6" max="6" width="7.28515625" style="228" customWidth="1"/>
    <col min="7" max="7" width="5.42578125" style="228" customWidth="1"/>
    <col min="8" max="8" width="16" style="228" customWidth="1"/>
    <col min="9" max="9" width="13.85546875" style="228" customWidth="1"/>
    <col min="10" max="10" width="6" style="228" customWidth="1"/>
    <col min="11" max="11" width="9.855468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256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132</v>
      </c>
      <c r="B6" s="430"/>
      <c r="C6" s="430"/>
      <c r="D6" s="430"/>
      <c r="E6" s="430"/>
      <c r="F6" s="430"/>
      <c r="G6" s="430"/>
      <c r="H6" s="430"/>
      <c r="I6" s="431"/>
      <c r="J6" s="432" t="s">
        <v>46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66" t="s">
        <v>2</v>
      </c>
      <c r="B10" s="332"/>
      <c r="C10" s="333"/>
      <c r="D10" s="331" t="s">
        <v>6</v>
      </c>
      <c r="E10" s="332"/>
      <c r="F10" s="333"/>
      <c r="G10" s="331" t="s">
        <v>7</v>
      </c>
      <c r="H10" s="333"/>
      <c r="I10" s="418" t="s">
        <v>10</v>
      </c>
      <c r="J10" s="420" t="s">
        <v>33</v>
      </c>
      <c r="K10" s="42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419"/>
      <c r="J11" s="422"/>
      <c r="K11" s="423"/>
    </row>
    <row r="12" spans="1:11" x14ac:dyDescent="0.25">
      <c r="A12" s="23">
        <v>21</v>
      </c>
      <c r="B12" s="10">
        <v>6</v>
      </c>
      <c r="C12" s="138" t="s">
        <v>364</v>
      </c>
      <c r="D12" s="9">
        <v>22</v>
      </c>
      <c r="E12" s="10">
        <v>6</v>
      </c>
      <c r="F12" s="138" t="s">
        <v>365</v>
      </c>
      <c r="G12" s="12">
        <v>0.5</v>
      </c>
      <c r="H12" s="272">
        <v>84366</v>
      </c>
      <c r="I12" s="14">
        <v>42183</v>
      </c>
      <c r="J12" s="461"/>
      <c r="K12" s="467"/>
    </row>
    <row r="13" spans="1:11" x14ac:dyDescent="0.25">
      <c r="A13" s="9">
        <v>26</v>
      </c>
      <c r="B13" s="10">
        <v>6</v>
      </c>
      <c r="C13" s="138" t="s">
        <v>388</v>
      </c>
      <c r="D13" s="19">
        <v>26</v>
      </c>
      <c r="E13" s="10">
        <v>6</v>
      </c>
      <c r="F13" s="138" t="s">
        <v>389</v>
      </c>
      <c r="G13" s="12">
        <v>0.5</v>
      </c>
      <c r="H13" s="272">
        <v>84366</v>
      </c>
      <c r="I13" s="14">
        <v>42183</v>
      </c>
      <c r="J13" s="461"/>
      <c r="K13" s="467"/>
    </row>
    <row r="14" spans="1:11" x14ac:dyDescent="0.25">
      <c r="A14" s="9"/>
      <c r="B14" s="10"/>
      <c r="C14" s="138"/>
      <c r="D14" s="9"/>
      <c r="E14" s="10"/>
      <c r="F14" s="138"/>
      <c r="G14" s="12"/>
      <c r="H14" s="13"/>
      <c r="I14" s="14"/>
      <c r="J14" s="461"/>
      <c r="K14" s="467"/>
    </row>
    <row r="15" spans="1:11" x14ac:dyDescent="0.25">
      <c r="A15" s="9"/>
      <c r="B15" s="10"/>
      <c r="C15" s="138"/>
      <c r="D15" s="19"/>
      <c r="E15" s="10"/>
      <c r="F15" s="139"/>
      <c r="G15" s="12"/>
      <c r="H15" s="13"/>
      <c r="I15" s="14"/>
      <c r="J15" s="461"/>
      <c r="K15" s="467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461"/>
      <c r="K16" s="467"/>
    </row>
    <row r="17" spans="1:11" x14ac:dyDescent="0.25">
      <c r="A17" s="9"/>
      <c r="B17" s="10"/>
      <c r="C17" s="138"/>
      <c r="D17" s="19"/>
      <c r="E17" s="10"/>
      <c r="F17" s="139"/>
      <c r="G17" s="12"/>
      <c r="H17" s="13"/>
      <c r="I17" s="14"/>
      <c r="J17" s="461"/>
      <c r="K17" s="467"/>
    </row>
    <row r="18" spans="1:11" x14ac:dyDescent="0.25">
      <c r="A18" s="9"/>
      <c r="B18" s="10"/>
      <c r="C18" s="138"/>
      <c r="D18" s="19"/>
      <c r="E18" s="10"/>
      <c r="F18" s="138"/>
      <c r="G18" s="12"/>
      <c r="H18" s="13"/>
      <c r="I18" s="14"/>
      <c r="J18" s="461"/>
      <c r="K18" s="467"/>
    </row>
    <row r="19" spans="1:11" x14ac:dyDescent="0.25">
      <c r="A19" s="9"/>
      <c r="B19" s="10"/>
      <c r="C19" s="138"/>
      <c r="D19" s="9"/>
      <c r="E19" s="10"/>
      <c r="F19" s="138"/>
      <c r="G19" s="12"/>
      <c r="H19" s="13"/>
      <c r="I19" s="14"/>
      <c r="J19" s="461"/>
      <c r="K19" s="467"/>
    </row>
    <row r="20" spans="1:11" x14ac:dyDescent="0.25">
      <c r="A20" s="9"/>
      <c r="B20" s="10"/>
      <c r="C20" s="138"/>
      <c r="D20" s="19"/>
      <c r="E20" s="10"/>
      <c r="F20" s="138"/>
      <c r="G20" s="12"/>
      <c r="H20" s="13"/>
      <c r="I20" s="14"/>
      <c r="J20" s="461"/>
      <c r="K20" s="467"/>
    </row>
    <row r="21" spans="1:11" x14ac:dyDescent="0.25">
      <c r="A21" s="9"/>
      <c r="B21" s="10"/>
      <c r="C21" s="138"/>
      <c r="D21" s="19"/>
      <c r="E21" s="10"/>
      <c r="F21" s="138"/>
      <c r="G21" s="12"/>
      <c r="H21" s="13"/>
      <c r="I21" s="14"/>
      <c r="J21" s="461"/>
      <c r="K21" s="467"/>
    </row>
    <row r="22" spans="1:11" x14ac:dyDescent="0.25">
      <c r="A22" s="9"/>
      <c r="B22" s="10"/>
      <c r="C22" s="138"/>
      <c r="D22" s="19"/>
      <c r="E22" s="10"/>
      <c r="F22" s="138"/>
      <c r="G22" s="12"/>
      <c r="H22" s="13"/>
      <c r="I22" s="14"/>
      <c r="J22" s="461"/>
      <c r="K22" s="467"/>
    </row>
    <row r="23" spans="1:11" x14ac:dyDescent="0.25">
      <c r="A23" s="9"/>
      <c r="B23" s="10"/>
      <c r="C23" s="138"/>
      <c r="D23" s="19"/>
      <c r="E23" s="10"/>
      <c r="F23" s="138"/>
      <c r="G23" s="12"/>
      <c r="H23" s="13"/>
      <c r="I23" s="14"/>
      <c r="J23" s="461"/>
      <c r="K23" s="467"/>
    </row>
    <row r="24" spans="1:11" x14ac:dyDescent="0.25">
      <c r="A24" s="9"/>
      <c r="B24" s="10"/>
      <c r="C24" s="138"/>
      <c r="D24" s="9"/>
      <c r="E24" s="10"/>
      <c r="F24" s="138"/>
      <c r="G24" s="12"/>
      <c r="H24" s="13"/>
      <c r="I24" s="14"/>
      <c r="J24" s="448"/>
      <c r="K24" s="449"/>
    </row>
    <row r="25" spans="1:11" x14ac:dyDescent="0.25">
      <c r="A25" s="9"/>
      <c r="B25" s="10"/>
      <c r="C25" s="138"/>
      <c r="D25" s="19"/>
      <c r="E25" s="10"/>
      <c r="F25" s="138"/>
      <c r="G25" s="12"/>
      <c r="H25" s="13"/>
      <c r="I25" s="14"/>
      <c r="J25" s="448"/>
      <c r="K25" s="449"/>
    </row>
    <row r="26" spans="1:11" x14ac:dyDescent="0.25">
      <c r="A26" s="9"/>
      <c r="B26" s="10"/>
      <c r="C26" s="138"/>
      <c r="D26" s="19"/>
      <c r="E26" s="10"/>
      <c r="F26" s="138"/>
      <c r="G26" s="12"/>
      <c r="H26" s="13"/>
      <c r="I26" s="14"/>
      <c r="J26" s="448"/>
      <c r="K26" s="449"/>
    </row>
    <row r="27" spans="1:11" x14ac:dyDescent="0.25">
      <c r="A27" s="9"/>
      <c r="B27" s="10"/>
      <c r="C27" s="138"/>
      <c r="D27" s="19"/>
      <c r="E27" s="10"/>
      <c r="F27" s="138"/>
      <c r="G27" s="12"/>
      <c r="H27" s="13"/>
      <c r="I27" s="14"/>
      <c r="J27" s="448"/>
      <c r="K27" s="449"/>
    </row>
    <row r="28" spans="1:11" x14ac:dyDescent="0.25">
      <c r="A28" s="97"/>
      <c r="B28" s="97"/>
      <c r="C28" s="98"/>
      <c r="D28" s="99"/>
      <c r="E28" s="100"/>
      <c r="F28" s="100"/>
      <c r="G28" s="100"/>
      <c r="H28" s="100"/>
      <c r="I28" s="330"/>
      <c r="J28" s="448"/>
      <c r="K28" s="449"/>
    </row>
    <row r="29" spans="1:11" x14ac:dyDescent="0.25">
      <c r="A29" s="97"/>
      <c r="B29" s="97"/>
      <c r="C29" s="101"/>
      <c r="D29" s="101"/>
      <c r="E29" s="100"/>
      <c r="F29" s="100"/>
      <c r="G29" s="100"/>
      <c r="H29" s="100"/>
      <c r="I29" s="330"/>
      <c r="J29" s="448"/>
      <c r="K29" s="449"/>
    </row>
    <row r="30" spans="1:11" x14ac:dyDescent="0.25">
      <c r="A30" s="102"/>
      <c r="B30" s="102"/>
      <c r="C30" s="103"/>
      <c r="D30" s="103"/>
      <c r="E30" s="102"/>
      <c r="F30" s="102"/>
      <c r="G30" s="102"/>
      <c r="H30" s="102"/>
      <c r="I30" s="13"/>
      <c r="J30" s="448"/>
      <c r="K30" s="449"/>
    </row>
    <row r="31" spans="1:11" x14ac:dyDescent="0.25">
      <c r="A31" s="104"/>
      <c r="B31" s="104"/>
      <c r="C31" s="104"/>
      <c r="D31" s="104"/>
      <c r="E31" s="104"/>
      <c r="F31" s="104"/>
      <c r="G31" s="104"/>
      <c r="H31" s="104"/>
      <c r="I31" s="339"/>
      <c r="J31" s="448"/>
      <c r="K31" s="449"/>
    </row>
    <row r="32" spans="1:11" x14ac:dyDescent="0.25">
      <c r="A32" s="106"/>
      <c r="B32" s="106"/>
      <c r="C32" s="106"/>
      <c r="D32" s="106"/>
      <c r="E32" s="106"/>
      <c r="F32" s="106"/>
      <c r="G32" s="106"/>
      <c r="H32" s="107"/>
      <c r="I32" s="339"/>
      <c r="J32" s="448"/>
      <c r="K32" s="449"/>
    </row>
    <row r="33" spans="1:11" x14ac:dyDescent="0.25">
      <c r="A33" s="456"/>
      <c r="B33" s="456"/>
      <c r="C33" s="456"/>
      <c r="D33" s="456"/>
      <c r="E33" s="335"/>
      <c r="F33" s="335"/>
      <c r="G33" s="335"/>
      <c r="H33" s="108" t="s">
        <v>47</v>
      </c>
      <c r="I33" s="109">
        <f>SUM(I12:I29)</f>
        <v>84366</v>
      </c>
      <c r="J33" s="457"/>
      <c r="K33" s="457"/>
    </row>
    <row r="34" spans="1:11" x14ac:dyDescent="0.25">
      <c r="A34" s="456"/>
      <c r="B34" s="456"/>
      <c r="C34" s="456"/>
      <c r="D34" s="456"/>
      <c r="E34" s="335"/>
      <c r="F34" s="335"/>
      <c r="G34" s="335"/>
      <c r="H34" s="335"/>
      <c r="I34" s="110"/>
      <c r="J34" s="110"/>
      <c r="K34" s="110"/>
    </row>
    <row r="35" spans="1:11" x14ac:dyDescent="0.25">
      <c r="A35" s="111" t="s">
        <v>412</v>
      </c>
      <c r="B35" s="112"/>
      <c r="C35" s="112"/>
      <c r="D35" s="112"/>
      <c r="E35" s="113"/>
      <c r="F35" s="113"/>
      <c r="G35" s="113"/>
      <c r="H35" s="113"/>
      <c r="I35" s="110"/>
      <c r="J35" s="110"/>
      <c r="K35" s="335"/>
    </row>
    <row r="36" spans="1:11" x14ac:dyDescent="0.25">
      <c r="A36" s="114"/>
      <c r="B36" s="114"/>
      <c r="C36" s="114"/>
      <c r="D36" s="114"/>
      <c r="E36" s="114"/>
      <c r="F36" s="114"/>
      <c r="G36" s="114"/>
      <c r="H36" s="114"/>
      <c r="I36" s="115"/>
      <c r="J36" s="110"/>
      <c r="K36" s="335"/>
    </row>
    <row r="37" spans="1:11" x14ac:dyDescent="0.25">
      <c r="A37" s="114"/>
      <c r="B37" s="114"/>
      <c r="C37" s="114"/>
      <c r="D37" s="114"/>
      <c r="E37" s="114"/>
      <c r="F37" s="114"/>
      <c r="G37" s="114"/>
      <c r="H37" s="142" t="s">
        <v>61</v>
      </c>
      <c r="I37" s="390"/>
      <c r="J37" s="390"/>
      <c r="K37" s="390"/>
    </row>
    <row r="38" spans="1:11" x14ac:dyDescent="0.25">
      <c r="A38" s="114"/>
      <c r="B38" s="114"/>
      <c r="C38" s="114"/>
      <c r="D38" s="114"/>
      <c r="E38" s="114"/>
      <c r="F38" s="114"/>
      <c r="G38" s="114"/>
      <c r="H38" s="141" t="s">
        <v>38</v>
      </c>
      <c r="I38" s="437"/>
      <c r="J38" s="437"/>
      <c r="K38" s="437"/>
    </row>
    <row r="39" spans="1:11" x14ac:dyDescent="0.25">
      <c r="A39" s="460" t="s">
        <v>143</v>
      </c>
      <c r="B39" s="460"/>
      <c r="C39" s="460"/>
      <c r="D39" s="460"/>
      <c r="E39" s="460"/>
      <c r="F39" s="460"/>
      <c r="G39" s="460"/>
      <c r="H39" s="460"/>
      <c r="I39" s="86"/>
      <c r="J39" s="116"/>
    </row>
    <row r="40" spans="1:11" x14ac:dyDescent="0.25">
      <c r="A40" s="86" t="s">
        <v>400</v>
      </c>
      <c r="B40" s="86"/>
      <c r="C40" s="86"/>
      <c r="D40" s="86"/>
      <c r="E40" s="86"/>
      <c r="F40" s="86"/>
      <c r="G40" s="86"/>
      <c r="H40" s="86" t="s">
        <v>161</v>
      </c>
      <c r="I40" s="389"/>
      <c r="J40" s="389"/>
      <c r="K40" s="389"/>
    </row>
    <row r="41" spans="1:11" x14ac:dyDescent="0.25">
      <c r="A41" s="458"/>
      <c r="B41" s="458"/>
      <c r="C41" s="335"/>
      <c r="D41" s="335"/>
      <c r="E41" s="335"/>
      <c r="F41" s="335"/>
      <c r="G41" s="335"/>
      <c r="H41" s="260" t="s">
        <v>40</v>
      </c>
      <c r="I41" s="389"/>
      <c r="J41" s="389"/>
      <c r="K41" s="389"/>
    </row>
    <row r="42" spans="1:11" x14ac:dyDescent="0.25">
      <c r="A42" s="458"/>
      <c r="B42" s="458"/>
      <c r="C42" s="335"/>
      <c r="D42" s="335"/>
      <c r="E42" s="335"/>
      <c r="F42" s="335"/>
      <c r="G42" s="335"/>
      <c r="H42" s="390"/>
      <c r="I42" s="390"/>
      <c r="J42" s="390"/>
      <c r="K42" s="390"/>
    </row>
    <row r="43" spans="1:11" x14ac:dyDescent="0.25">
      <c r="A43" s="337"/>
      <c r="B43" s="334"/>
      <c r="C43" s="334"/>
      <c r="D43" s="334"/>
      <c r="E43" s="334"/>
      <c r="F43" s="117"/>
      <c r="G43" s="117"/>
      <c r="H43" s="437"/>
      <c r="I43" s="437"/>
      <c r="J43" s="437"/>
      <c r="K43" s="437"/>
    </row>
    <row r="44" spans="1:11" x14ac:dyDescent="0.25">
      <c r="A44" s="337"/>
      <c r="B44" s="334"/>
      <c r="C44" s="335"/>
      <c r="D44" s="335"/>
      <c r="E44" s="335"/>
      <c r="F44" s="117"/>
      <c r="G44" s="117"/>
      <c r="H44" s="117"/>
      <c r="I44" s="86"/>
      <c r="J44" s="86"/>
      <c r="K44" s="86"/>
    </row>
    <row r="45" spans="1:11" x14ac:dyDescent="0.25">
      <c r="A45" s="117"/>
      <c r="B45" s="334"/>
      <c r="C45" s="115"/>
      <c r="D45" s="115"/>
      <c r="E45" s="115"/>
      <c r="F45" s="115"/>
      <c r="G45" s="115"/>
      <c r="H45" s="115"/>
    </row>
  </sheetData>
  <mergeCells count="46">
    <mergeCell ref="H43:K43"/>
    <mergeCell ref="I37:K37"/>
    <mergeCell ref="I38:K38"/>
    <mergeCell ref="A39:H39"/>
    <mergeCell ref="I40:K40"/>
    <mergeCell ref="A41:B42"/>
    <mergeCell ref="I41:K41"/>
    <mergeCell ref="H42:K42"/>
    <mergeCell ref="A34:B34"/>
    <mergeCell ref="C34:D34"/>
    <mergeCell ref="J25:K25"/>
    <mergeCell ref="J26:K26"/>
    <mergeCell ref="J27:K27"/>
    <mergeCell ref="J28:K28"/>
    <mergeCell ref="J29:K29"/>
    <mergeCell ref="J30:K30"/>
    <mergeCell ref="J31:K31"/>
    <mergeCell ref="J32:K32"/>
    <mergeCell ref="A33:B33"/>
    <mergeCell ref="C33:D33"/>
    <mergeCell ref="J33:K33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12:K12"/>
    <mergeCell ref="A1:K2"/>
    <mergeCell ref="A3:K3"/>
    <mergeCell ref="A4:K4"/>
    <mergeCell ref="A5:I5"/>
    <mergeCell ref="J5:K5"/>
    <mergeCell ref="A6:I6"/>
    <mergeCell ref="J6:K6"/>
    <mergeCell ref="A7:I7"/>
    <mergeCell ref="A8:I8"/>
    <mergeCell ref="A9:K9"/>
    <mergeCell ref="I10:I11"/>
    <mergeCell ref="J10:K11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46"/>
  <sheetViews>
    <sheetView workbookViewId="0">
      <selection activeCell="A11" sqref="A1:K1048576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2" ht="1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  <c r="L1" s="228"/>
    </row>
    <row r="2" spans="1:12" ht="1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  <c r="L2" s="228"/>
    </row>
    <row r="3" spans="1:12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  <c r="L3" s="228"/>
    </row>
    <row r="4" spans="1:12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  <c r="L4" s="228"/>
    </row>
    <row r="5" spans="1:12" x14ac:dyDescent="0.25">
      <c r="A5" s="429" t="s">
        <v>301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  <c r="L5" s="228"/>
    </row>
    <row r="6" spans="1:12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  <c r="L6" s="228"/>
    </row>
    <row r="7" spans="1:12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  <c r="L7" s="228"/>
    </row>
    <row r="8" spans="1:12" x14ac:dyDescent="0.25">
      <c r="A8" s="463">
        <v>46143</v>
      </c>
      <c r="B8" s="410"/>
      <c r="C8" s="410"/>
      <c r="D8" s="410"/>
      <c r="E8" s="410"/>
      <c r="F8" s="410"/>
      <c r="G8" s="410"/>
      <c r="H8" s="410"/>
      <c r="I8" s="407"/>
      <c r="J8" s="65"/>
      <c r="K8" s="65"/>
      <c r="L8" s="228"/>
    </row>
    <row r="9" spans="1:12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  <c r="L9" s="228"/>
    </row>
    <row r="10" spans="1:12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  <c r="L10" s="228"/>
    </row>
    <row r="11" spans="1:12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32"/>
      <c r="J11" s="470"/>
      <c r="K11" s="470"/>
      <c r="L11" s="228"/>
    </row>
    <row r="12" spans="1:12" x14ac:dyDescent="0.25">
      <c r="A12" s="9">
        <v>10</v>
      </c>
      <c r="B12" s="10">
        <v>5</v>
      </c>
      <c r="C12" s="138" t="s">
        <v>230</v>
      </c>
      <c r="D12" s="9">
        <v>10</v>
      </c>
      <c r="E12" s="10">
        <v>5</v>
      </c>
      <c r="F12" s="138" t="s">
        <v>185</v>
      </c>
      <c r="G12" s="12">
        <v>0.5</v>
      </c>
      <c r="H12" s="272">
        <v>83166</v>
      </c>
      <c r="I12" s="14">
        <f t="shared" ref="I12" si="0">H12*G12</f>
        <v>41583</v>
      </c>
      <c r="J12" s="469"/>
      <c r="K12" s="469"/>
      <c r="L12" s="228"/>
    </row>
    <row r="13" spans="1:12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231"/>
      <c r="K13" s="231"/>
      <c r="L13" s="228"/>
    </row>
    <row r="14" spans="1:12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231"/>
      <c r="K14" s="231"/>
      <c r="L14" s="228"/>
    </row>
    <row r="15" spans="1:12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31"/>
      <c r="K15" s="231"/>
      <c r="L15" s="228"/>
    </row>
    <row r="16" spans="1:12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31"/>
      <c r="K16" s="231"/>
      <c r="L16" s="228"/>
    </row>
    <row r="17" spans="1:12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  <c r="L17" s="228"/>
    </row>
    <row r="18" spans="1:12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  <c r="L18" s="228"/>
    </row>
    <row r="19" spans="1:12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  <c r="L19" s="228"/>
    </row>
    <row r="20" spans="1:12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  <c r="L20" s="228"/>
    </row>
    <row r="21" spans="1:12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  <c r="L21" s="228"/>
    </row>
    <row r="22" spans="1:12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  <c r="L22" s="228"/>
    </row>
    <row r="23" spans="1:12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  <c r="L23" s="228"/>
    </row>
    <row r="24" spans="1:12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  <c r="L24" s="228"/>
    </row>
    <row r="25" spans="1:12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  <c r="L25" s="228"/>
    </row>
    <row r="26" spans="1:12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  <c r="L26" s="228"/>
    </row>
    <row r="27" spans="1:12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  <c r="L27" s="228"/>
    </row>
    <row r="28" spans="1:12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  <c r="L28" s="228"/>
    </row>
    <row r="29" spans="1:12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  <c r="L29" s="228"/>
    </row>
    <row r="30" spans="1:12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  <c r="L30" s="228"/>
    </row>
    <row r="31" spans="1:12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41583</v>
      </c>
      <c r="J31" s="469"/>
      <c r="K31" s="469"/>
      <c r="L31" s="228"/>
    </row>
    <row r="32" spans="1:12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  <c r="L32" s="228"/>
    </row>
    <row r="33" spans="1:12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  <c r="L33" s="228"/>
    </row>
    <row r="34" spans="1:12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228"/>
    </row>
    <row r="35" spans="1:12" x14ac:dyDescent="0.25">
      <c r="A35" s="156" t="s">
        <v>302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  <c r="L35" s="228"/>
    </row>
    <row r="36" spans="1:12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  <c r="L36" s="228"/>
    </row>
    <row r="37" spans="1:12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  <c r="L37" s="228"/>
    </row>
    <row r="38" spans="1:12" x14ac:dyDescent="0.25">
      <c r="A38" s="458" t="s">
        <v>291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  <c r="L38" s="228"/>
    </row>
    <row r="39" spans="1:12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  <c r="L39" s="228"/>
    </row>
    <row r="40" spans="1:12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  <c r="L40" s="228"/>
    </row>
    <row r="41" spans="1:12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  <c r="L41" s="228"/>
    </row>
    <row r="42" spans="1:12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  <c r="L42" s="228"/>
    </row>
    <row r="43" spans="1:12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  <c r="L43" s="228"/>
    </row>
    <row r="44" spans="1:12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  <c r="L44" s="228"/>
    </row>
    <row r="45" spans="1:12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2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16" workbookViewId="0">
      <selection activeCell="I38" sqref="A38:XFD38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179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46143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 t="b">
        <f>I19='ALEJANDRO J'!A6:J6</f>
        <v>1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84"/>
      <c r="J11" s="470"/>
      <c r="K11" s="470"/>
    </row>
    <row r="12" spans="1:11" x14ac:dyDescent="0.25">
      <c r="A12" s="9">
        <v>21</v>
      </c>
      <c r="B12" s="10">
        <v>5</v>
      </c>
      <c r="C12" s="138" t="s">
        <v>250</v>
      </c>
      <c r="D12" s="19">
        <v>21</v>
      </c>
      <c r="E12" s="10">
        <v>5</v>
      </c>
      <c r="F12" s="138" t="s">
        <v>213</v>
      </c>
      <c r="G12" s="12">
        <v>0.5</v>
      </c>
      <c r="H12" s="272">
        <v>83166</v>
      </c>
      <c r="I12" s="14">
        <f t="shared" ref="I12" si="0">H12*G12</f>
        <v>41583</v>
      </c>
      <c r="J12" s="469"/>
      <c r="K12" s="469"/>
    </row>
    <row r="13" spans="1:11" x14ac:dyDescent="0.25">
      <c r="A13" s="23"/>
      <c r="B13" s="10"/>
      <c r="C13" s="138"/>
      <c r="D13" s="9"/>
      <c r="E13" s="10"/>
      <c r="F13" s="138"/>
      <c r="G13" s="12"/>
      <c r="H13" s="272"/>
      <c r="I13" s="14"/>
      <c r="J13" s="283"/>
      <c r="K13" s="283"/>
    </row>
    <row r="14" spans="1:11" x14ac:dyDescent="0.25">
      <c r="A14" s="9"/>
      <c r="B14" s="10"/>
      <c r="C14" s="138"/>
      <c r="D14" s="19"/>
      <c r="E14" s="10"/>
      <c r="F14" s="138"/>
      <c r="G14" s="12"/>
      <c r="H14" s="272"/>
      <c r="I14" s="14"/>
      <c r="J14" s="283"/>
      <c r="K14" s="283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83"/>
      <c r="K15" s="283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83"/>
      <c r="K16" s="283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41583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305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291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A6:I6"/>
    <mergeCell ref="J6:K6"/>
    <mergeCell ref="A1:K2"/>
    <mergeCell ref="A3:K3"/>
    <mergeCell ref="A4:K4"/>
    <mergeCell ref="A5:I5"/>
    <mergeCell ref="J5:K5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A25:B25"/>
    <mergeCell ref="C25:D25"/>
    <mergeCell ref="E25:H25"/>
    <mergeCell ref="J25:K25"/>
    <mergeCell ref="A26:B26"/>
    <mergeCell ref="C26:D26"/>
    <mergeCell ref="E26:H26"/>
    <mergeCell ref="J26:K26"/>
    <mergeCell ref="A27:B27"/>
    <mergeCell ref="C27:D27"/>
    <mergeCell ref="E27:H27"/>
    <mergeCell ref="J27:K27"/>
    <mergeCell ref="A28:B28"/>
    <mergeCell ref="C28:D28"/>
    <mergeCell ref="E28:H28"/>
    <mergeCell ref="J28:K28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workbookViewId="0">
      <selection activeCell="C39" sqref="C39:H40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421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 t="s">
        <v>422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64"/>
      <c r="J11" s="470"/>
      <c r="K11" s="470"/>
    </row>
    <row r="12" spans="1:11" x14ac:dyDescent="0.25">
      <c r="A12" s="23">
        <v>21</v>
      </c>
      <c r="B12" s="10">
        <v>6</v>
      </c>
      <c r="C12" s="138" t="s">
        <v>368</v>
      </c>
      <c r="D12" s="19">
        <v>21</v>
      </c>
      <c r="E12" s="10">
        <v>6</v>
      </c>
      <c r="F12" s="138" t="s">
        <v>276</v>
      </c>
      <c r="G12" s="12">
        <v>0.5</v>
      </c>
      <c r="H12" s="272">
        <v>84366</v>
      </c>
      <c r="I12" s="14">
        <f t="shared" ref="I12" si="0">H12*G12</f>
        <v>42183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363"/>
      <c r="K13" s="363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63"/>
      <c r="K14" s="363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63"/>
      <c r="K15" s="363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63"/>
      <c r="K16" s="363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42183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420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404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A6:I6"/>
    <mergeCell ref="J6:K6"/>
    <mergeCell ref="A1:K2"/>
    <mergeCell ref="A3:K3"/>
    <mergeCell ref="A4:K4"/>
    <mergeCell ref="A5:I5"/>
    <mergeCell ref="J5:K5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A25:B25"/>
    <mergeCell ref="C25:D25"/>
    <mergeCell ref="E25:H25"/>
    <mergeCell ref="J25:K25"/>
    <mergeCell ref="A26:B26"/>
    <mergeCell ref="C26:D26"/>
    <mergeCell ref="E26:H26"/>
    <mergeCell ref="J26:K26"/>
    <mergeCell ref="A27:B27"/>
    <mergeCell ref="C27:D27"/>
    <mergeCell ref="E27:H27"/>
    <mergeCell ref="J27:K27"/>
    <mergeCell ref="A28:B28"/>
    <mergeCell ref="C28:D28"/>
    <mergeCell ref="E28:H28"/>
    <mergeCell ref="J28:K28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</mergeCells>
  <pageMargins left="0.7" right="0.7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workbookViewId="0">
      <selection activeCell="A36" sqref="A36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156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 t="s">
        <v>424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 t="b">
        <f>I19='ALEJANDRO J'!A6:J6</f>
        <v>1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40"/>
      <c r="J11" s="470"/>
      <c r="K11" s="470"/>
    </row>
    <row r="12" spans="1:11" x14ac:dyDescent="0.25">
      <c r="A12" s="9">
        <v>6</v>
      </c>
      <c r="B12" s="10">
        <v>6</v>
      </c>
      <c r="C12" s="138" t="s">
        <v>325</v>
      </c>
      <c r="D12" s="19">
        <v>6</v>
      </c>
      <c r="E12" s="10">
        <v>6</v>
      </c>
      <c r="F12" s="138" t="s">
        <v>75</v>
      </c>
      <c r="G12" s="12">
        <v>0.5</v>
      </c>
      <c r="H12" s="272">
        <v>84366</v>
      </c>
      <c r="I12" s="14">
        <f t="shared" ref="I12" si="0">H12*G12</f>
        <v>42183</v>
      </c>
      <c r="J12" s="469"/>
      <c r="K12" s="469"/>
    </row>
    <row r="13" spans="1:11" x14ac:dyDescent="0.25">
      <c r="A13" s="9"/>
      <c r="B13" s="10"/>
      <c r="C13" s="138"/>
      <c r="D13" s="9"/>
      <c r="E13" s="10"/>
      <c r="F13" s="138"/>
      <c r="G13" s="12"/>
      <c r="H13" s="272"/>
      <c r="I13" s="14"/>
      <c r="J13" s="238"/>
      <c r="K13" s="238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238"/>
      <c r="K14" s="238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38"/>
      <c r="K15" s="238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38"/>
      <c r="K16" s="238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42183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410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404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A6:I6"/>
    <mergeCell ref="J6:K6"/>
    <mergeCell ref="A1:K2"/>
    <mergeCell ref="A3:K3"/>
    <mergeCell ref="A4:K4"/>
    <mergeCell ref="A5:I5"/>
    <mergeCell ref="J5:K5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A25:B25"/>
    <mergeCell ref="C25:D25"/>
    <mergeCell ref="E25:H25"/>
    <mergeCell ref="J25:K25"/>
    <mergeCell ref="A26:B26"/>
    <mergeCell ref="C26:D26"/>
    <mergeCell ref="E26:H26"/>
    <mergeCell ref="J26:K26"/>
    <mergeCell ref="A27:B27"/>
    <mergeCell ref="C27:D27"/>
    <mergeCell ref="E27:H27"/>
    <mergeCell ref="J27:K27"/>
    <mergeCell ref="A28:B28"/>
    <mergeCell ref="C28:D28"/>
    <mergeCell ref="E28:H28"/>
    <mergeCell ref="J28:K28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</mergeCells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19" workbookViewId="0">
      <selection activeCell="B35" sqref="A35:XFD35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265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46113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 t="b">
        <f>I19='ALEJANDRO J'!A6:J6</f>
        <v>1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38"/>
      <c r="J11" s="470"/>
      <c r="K11" s="470"/>
    </row>
    <row r="12" spans="1:11" x14ac:dyDescent="0.25">
      <c r="A12" s="244">
        <v>16</v>
      </c>
      <c r="B12" s="10">
        <v>4</v>
      </c>
      <c r="C12" s="245" t="s">
        <v>75</v>
      </c>
      <c r="D12" s="246">
        <v>16</v>
      </c>
      <c r="E12" s="10">
        <v>4</v>
      </c>
      <c r="F12" s="245" t="s">
        <v>247</v>
      </c>
      <c r="G12" s="247">
        <v>0.5</v>
      </c>
      <c r="H12" s="272">
        <v>81166</v>
      </c>
      <c r="I12" s="248">
        <f t="shared" ref="I12" si="0">H12*G12</f>
        <v>40583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272"/>
      <c r="I13" s="14"/>
      <c r="J13" s="336"/>
      <c r="K13" s="336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36"/>
      <c r="K14" s="336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36"/>
      <c r="K15" s="336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36"/>
      <c r="K16" s="336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40583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259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255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4" workbookViewId="0">
      <selection activeCell="I38" sqref="A38:XFD38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220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 t="b">
        <f>I19='ALEJANDRO J'!A6:J6</f>
        <v>1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22"/>
      <c r="J11" s="470"/>
      <c r="K11" s="470"/>
    </row>
    <row r="12" spans="1:11" x14ac:dyDescent="0.25">
      <c r="A12" s="9">
        <v>25</v>
      </c>
      <c r="B12" s="10">
        <v>6</v>
      </c>
      <c r="C12" s="138" t="s">
        <v>382</v>
      </c>
      <c r="D12" s="19">
        <v>25</v>
      </c>
      <c r="E12" s="10">
        <v>6</v>
      </c>
      <c r="F12" s="138" t="s">
        <v>204</v>
      </c>
      <c r="G12" s="12">
        <v>0.5</v>
      </c>
      <c r="H12" s="272">
        <v>84366</v>
      </c>
      <c r="I12" s="14">
        <f>H12*G12</f>
        <v>42183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272"/>
      <c r="I13" s="14"/>
      <c r="J13" s="321"/>
      <c r="K13" s="321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21"/>
      <c r="K14" s="321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21"/>
      <c r="K15" s="321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21"/>
      <c r="K16" s="321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42183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420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404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workbookViewId="0">
      <selection activeCell="A36" sqref="A36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198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 t="s">
        <v>424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99"/>
      <c r="J11" s="470"/>
      <c r="K11" s="470"/>
    </row>
    <row r="12" spans="1:11" x14ac:dyDescent="0.25">
      <c r="A12" s="244">
        <v>11</v>
      </c>
      <c r="B12" s="10">
        <v>6</v>
      </c>
      <c r="C12" s="138" t="s">
        <v>213</v>
      </c>
      <c r="D12" s="246">
        <v>11</v>
      </c>
      <c r="E12" s="10">
        <v>6</v>
      </c>
      <c r="F12" s="138" t="s">
        <v>344</v>
      </c>
      <c r="G12" s="247">
        <v>0.5</v>
      </c>
      <c r="H12" s="272">
        <v>84366</v>
      </c>
      <c r="I12" s="14">
        <f t="shared" ref="I12" si="0">H12*G12</f>
        <v>42183</v>
      </c>
      <c r="J12" s="469"/>
      <c r="K12" s="469"/>
    </row>
    <row r="13" spans="1:11" x14ac:dyDescent="0.25">
      <c r="A13" s="9"/>
      <c r="B13" s="10"/>
      <c r="C13" s="229"/>
      <c r="D13" s="9"/>
      <c r="E13" s="10"/>
      <c r="F13" s="138"/>
      <c r="G13" s="12"/>
      <c r="H13" s="13"/>
      <c r="I13" s="14"/>
      <c r="J13" s="298"/>
      <c r="K13" s="298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298"/>
      <c r="K14" s="298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98"/>
      <c r="K15" s="298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98"/>
      <c r="K16" s="298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42183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420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404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workbookViewId="0">
      <selection activeCell="B35" sqref="A35:XFD35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ht="1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176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177</v>
      </c>
      <c r="K6" s="433"/>
    </row>
    <row r="7" spans="1:11" x14ac:dyDescent="0.25">
      <c r="A7" s="426" t="s">
        <v>30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45992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 t="b">
        <f>I19='ALEJANDRO J'!A6:J6</f>
        <v>1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32"/>
      <c r="J11" s="470"/>
      <c r="K11" s="470"/>
    </row>
    <row r="12" spans="1:11" x14ac:dyDescent="0.25">
      <c r="A12" s="9">
        <v>20</v>
      </c>
      <c r="B12" s="10">
        <v>12</v>
      </c>
      <c r="C12" s="138" t="s">
        <v>168</v>
      </c>
      <c r="D12" s="19">
        <v>21</v>
      </c>
      <c r="E12" s="10">
        <v>12</v>
      </c>
      <c r="F12" s="138" t="s">
        <v>169</v>
      </c>
      <c r="G12" s="12">
        <v>0.5</v>
      </c>
      <c r="H12" s="272">
        <v>72808</v>
      </c>
      <c r="I12" s="14">
        <f t="shared" ref="I12" si="0">H12*G12</f>
        <v>36404</v>
      </c>
      <c r="J12" s="469"/>
      <c r="K12" s="469"/>
    </row>
    <row r="13" spans="1:11" x14ac:dyDescent="0.25">
      <c r="A13" s="9"/>
      <c r="B13" s="10"/>
      <c r="C13" s="138"/>
      <c r="D13" s="9"/>
      <c r="E13" s="10"/>
      <c r="F13" s="138"/>
      <c r="G13" s="12"/>
      <c r="H13" s="13"/>
      <c r="I13" s="14"/>
      <c r="J13" s="231"/>
      <c r="K13" s="231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231"/>
      <c r="K14" s="231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31"/>
      <c r="K15" s="231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31"/>
      <c r="K16" s="231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36404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178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171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10" workbookViewId="0">
      <selection activeCell="I38" sqref="A38:XFD38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429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46174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99"/>
      <c r="J11" s="470"/>
      <c r="K11" s="470"/>
    </row>
    <row r="12" spans="1:11" x14ac:dyDescent="0.25">
      <c r="A12" s="367">
        <v>26</v>
      </c>
      <c r="B12" s="368">
        <v>6</v>
      </c>
      <c r="C12" s="138" t="s">
        <v>384</v>
      </c>
      <c r="D12" s="367">
        <v>26</v>
      </c>
      <c r="E12" s="368">
        <v>6</v>
      </c>
      <c r="F12" s="138" t="s">
        <v>385</v>
      </c>
      <c r="G12" s="12">
        <v>0.5</v>
      </c>
      <c r="H12" s="272">
        <v>84366</v>
      </c>
      <c r="I12" s="14">
        <f t="shared" ref="I12" si="0">H12*G12</f>
        <v>42183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298"/>
      <c r="K13" s="298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298"/>
      <c r="K14" s="298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98"/>
      <c r="K15" s="298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98"/>
      <c r="K16" s="298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42183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430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431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4" workbookViewId="0">
      <selection activeCell="I38" sqref="A38:XFD38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306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46143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/>
      <c r="B11" s="70"/>
      <c r="C11" s="70"/>
      <c r="D11" s="70"/>
      <c r="E11" s="70"/>
      <c r="F11" s="70"/>
      <c r="G11" s="70"/>
      <c r="H11" s="70"/>
      <c r="I11" s="299"/>
      <c r="J11" s="470"/>
      <c r="K11" s="470"/>
    </row>
    <row r="12" spans="1:11" x14ac:dyDescent="0.25">
      <c r="A12" s="9">
        <v>10</v>
      </c>
      <c r="B12" s="10">
        <v>5</v>
      </c>
      <c r="C12" s="138" t="s">
        <v>276</v>
      </c>
      <c r="D12" s="19">
        <v>11</v>
      </c>
      <c r="E12" s="10">
        <v>5</v>
      </c>
      <c r="F12" s="139" t="s">
        <v>253</v>
      </c>
      <c r="G12" s="12">
        <v>0.5</v>
      </c>
      <c r="H12" s="272">
        <v>83166</v>
      </c>
      <c r="I12" s="14">
        <f t="shared" ref="I12" si="0">H12*G12</f>
        <v>41583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272"/>
      <c r="I13" s="14"/>
      <c r="J13" s="298"/>
      <c r="K13" s="298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298"/>
      <c r="K14" s="298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98"/>
      <c r="K15" s="298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98"/>
      <c r="K16" s="298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41583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307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291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5"/>
  <sheetViews>
    <sheetView topLeftCell="A19" workbookViewId="0">
      <selection activeCell="M34" sqref="M34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199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 t="s">
        <v>424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99"/>
      <c r="J11" s="470"/>
      <c r="K11" s="470"/>
    </row>
    <row r="12" spans="1:11" x14ac:dyDescent="0.25">
      <c r="A12" s="9">
        <v>30</v>
      </c>
      <c r="B12" s="10">
        <v>6</v>
      </c>
      <c r="C12" s="138" t="s">
        <v>395</v>
      </c>
      <c r="D12" s="19">
        <v>30</v>
      </c>
      <c r="E12" s="10">
        <v>6</v>
      </c>
      <c r="F12" s="138" t="s">
        <v>246</v>
      </c>
      <c r="G12" s="12">
        <v>0.5</v>
      </c>
      <c r="H12" s="272">
        <v>84366</v>
      </c>
      <c r="I12" s="14">
        <f t="shared" ref="I12" si="0">H12*G12</f>
        <v>42183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272"/>
      <c r="I13" s="14"/>
      <c r="J13" s="298"/>
      <c r="K13" s="298"/>
    </row>
    <row r="14" spans="1:11" x14ac:dyDescent="0.25">
      <c r="A14" s="9"/>
      <c r="B14" s="10"/>
      <c r="C14" s="138"/>
      <c r="D14" s="19"/>
      <c r="E14" s="10"/>
      <c r="F14" s="138"/>
      <c r="G14" s="12"/>
      <c r="H14" s="272"/>
      <c r="I14" s="14"/>
      <c r="J14" s="298"/>
      <c r="K14" s="298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98"/>
      <c r="K15" s="298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98"/>
      <c r="K16" s="298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42183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324"/>
      <c r="J32" s="469"/>
      <c r="K32" s="469"/>
    </row>
    <row r="33" spans="1:11" x14ac:dyDescent="0.25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</row>
    <row r="34" spans="1:11" x14ac:dyDescent="0.25">
      <c r="A34" s="156" t="s">
        <v>428</v>
      </c>
      <c r="B34" s="156"/>
      <c r="C34" s="156"/>
      <c r="D34" s="156"/>
      <c r="E34" s="156"/>
      <c r="F34" s="156"/>
      <c r="G34" s="156"/>
      <c r="H34" s="156"/>
      <c r="I34" s="156"/>
      <c r="J34" s="86"/>
      <c r="K34" s="86"/>
    </row>
    <row r="35" spans="1:11" x14ac:dyDescent="0.25">
      <c r="A35" s="86"/>
      <c r="B35" s="86"/>
      <c r="C35" s="86"/>
      <c r="D35" s="86"/>
      <c r="E35" s="86"/>
      <c r="F35" s="86"/>
      <c r="G35" s="86"/>
      <c r="H35" s="86"/>
      <c r="I35" s="86"/>
      <c r="J35" s="456"/>
      <c r="K35" s="456"/>
    </row>
    <row r="36" spans="1:11" x14ac:dyDescent="0.25">
      <c r="A36" s="477" t="s">
        <v>39</v>
      </c>
      <c r="B36" s="477"/>
      <c r="C36" s="477"/>
      <c r="D36" s="477"/>
      <c r="E36" s="477"/>
      <c r="F36" s="477"/>
      <c r="G36" s="477"/>
      <c r="H36" s="477"/>
      <c r="I36" s="389" t="s">
        <v>56</v>
      </c>
      <c r="J36" s="389"/>
      <c r="K36" s="389"/>
    </row>
    <row r="37" spans="1:11" x14ac:dyDescent="0.25">
      <c r="A37" s="458" t="s">
        <v>404</v>
      </c>
      <c r="B37" s="458"/>
      <c r="C37" s="458"/>
      <c r="D37" s="458"/>
      <c r="E37" s="458"/>
      <c r="F37" s="458"/>
      <c r="G37" s="458"/>
      <c r="H37" s="458"/>
      <c r="I37" s="437"/>
      <c r="J37" s="437"/>
      <c r="K37" s="437"/>
    </row>
    <row r="38" spans="1:11" x14ac:dyDescent="0.25">
      <c r="A38" s="458"/>
      <c r="B38" s="458"/>
      <c r="C38" s="456"/>
      <c r="D38" s="456"/>
      <c r="E38" s="456"/>
      <c r="F38" s="456"/>
      <c r="G38" s="456"/>
      <c r="H38" s="456"/>
      <c r="I38" s="437"/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389" t="s">
        <v>56</v>
      </c>
      <c r="J39" s="389"/>
      <c r="K39" s="389"/>
    </row>
    <row r="40" spans="1:11" x14ac:dyDescent="0.25">
      <c r="A40" s="117"/>
      <c r="B40" s="117"/>
      <c r="C40" s="117"/>
      <c r="D40" s="117"/>
      <c r="E40" s="117"/>
      <c r="F40" s="117"/>
      <c r="G40" s="117"/>
      <c r="H40" s="117"/>
      <c r="I40" s="437" t="s">
        <v>40</v>
      </c>
      <c r="J40" s="437"/>
      <c r="K40" s="437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86"/>
      <c r="J41" s="456"/>
      <c r="K41" s="456"/>
    </row>
    <row r="42" spans="1:11" x14ac:dyDescent="0.25">
      <c r="A42" s="130"/>
      <c r="B42" s="117"/>
      <c r="C42" s="115"/>
      <c r="D42" s="115"/>
      <c r="E42" s="115"/>
      <c r="F42" s="115"/>
      <c r="G42" s="115"/>
      <c r="H42" s="115"/>
      <c r="I42" s="86"/>
      <c r="J42" s="456"/>
      <c r="K42" s="456"/>
    </row>
    <row r="43" spans="1:11" x14ac:dyDescent="0.25">
      <c r="A43" s="117"/>
      <c r="B43" s="117"/>
      <c r="C43" s="115"/>
      <c r="D43" s="115"/>
      <c r="E43" s="115"/>
      <c r="F43" s="115"/>
      <c r="G43" s="115"/>
      <c r="H43" s="115"/>
      <c r="I43" s="390"/>
      <c r="J43" s="390"/>
      <c r="K43" s="390"/>
    </row>
    <row r="44" spans="1:11" x14ac:dyDescent="0.25">
      <c r="A44" s="86"/>
      <c r="B44" s="86"/>
      <c r="C44" s="86"/>
      <c r="D44" s="86"/>
      <c r="E44" s="86"/>
      <c r="F44" s="86"/>
      <c r="G44" s="86"/>
      <c r="H44" s="86"/>
      <c r="I44" s="437"/>
      <c r="J44" s="437"/>
      <c r="K44" s="437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</row>
  </sheetData>
  <mergeCells count="69">
    <mergeCell ref="J42:K42"/>
    <mergeCell ref="I43:K43"/>
    <mergeCell ref="I44:K44"/>
    <mergeCell ref="A38:B39"/>
    <mergeCell ref="C38:H39"/>
    <mergeCell ref="I38:K38"/>
    <mergeCell ref="I39:K39"/>
    <mergeCell ref="I40:K40"/>
    <mergeCell ref="J41:K41"/>
    <mergeCell ref="A37:H37"/>
    <mergeCell ref="I37:K37"/>
    <mergeCell ref="A29:B29"/>
    <mergeCell ref="C29:D29"/>
    <mergeCell ref="E29:H29"/>
    <mergeCell ref="J29:K29"/>
    <mergeCell ref="A30:B30"/>
    <mergeCell ref="C30:D30"/>
    <mergeCell ref="E30:H30"/>
    <mergeCell ref="J30:K30"/>
    <mergeCell ref="A31:H32"/>
    <mergeCell ref="J31:K32"/>
    <mergeCell ref="J35:K35"/>
    <mergeCell ref="A36:H36"/>
    <mergeCell ref="I36:K36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25" workbookViewId="0">
      <selection activeCell="A9" sqref="A9:K9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201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200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46023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99"/>
      <c r="J11" s="470"/>
      <c r="K11" s="470"/>
    </row>
    <row r="12" spans="1:11" x14ac:dyDescent="0.25">
      <c r="A12" s="9">
        <v>23</v>
      </c>
      <c r="B12" s="10">
        <v>1</v>
      </c>
      <c r="C12" s="138" t="s">
        <v>190</v>
      </c>
      <c r="D12" s="24">
        <v>23</v>
      </c>
      <c r="E12" s="10">
        <v>1</v>
      </c>
      <c r="F12" s="138" t="s">
        <v>119</v>
      </c>
      <c r="G12" s="12">
        <v>0.5</v>
      </c>
      <c r="H12" s="272">
        <v>72808</v>
      </c>
      <c r="I12" s="14">
        <f t="shared" ref="I12" si="0">H12*G12</f>
        <v>36404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298"/>
      <c r="K13" s="298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298"/>
      <c r="K14" s="298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98"/>
      <c r="K15" s="298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98"/>
      <c r="K16" s="298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36404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197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192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16" workbookViewId="0">
      <selection activeCell="A39" sqref="A39:B40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ht="1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425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 t="s">
        <v>424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 t="b">
        <f>I19='ALEJANDRO J'!A6:J6</f>
        <v>1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232"/>
      <c r="J11" s="470"/>
      <c r="K11" s="470"/>
    </row>
    <row r="12" spans="1:11" x14ac:dyDescent="0.25">
      <c r="A12" s="9">
        <v>25</v>
      </c>
      <c r="B12" s="10">
        <v>6</v>
      </c>
      <c r="C12" s="138" t="s">
        <v>320</v>
      </c>
      <c r="D12" s="19">
        <v>25</v>
      </c>
      <c r="E12" s="10">
        <v>6</v>
      </c>
      <c r="F12" s="138" t="s">
        <v>213</v>
      </c>
      <c r="G12" s="12">
        <v>0.5</v>
      </c>
      <c r="H12" s="272">
        <v>84366</v>
      </c>
      <c r="I12" s="14">
        <f t="shared" ref="I12" si="0">H12*G12</f>
        <v>42183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231"/>
      <c r="K13" s="231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231"/>
      <c r="K14" s="231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231"/>
      <c r="K15" s="231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231"/>
      <c r="K16" s="231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42183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420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436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21" workbookViewId="0">
      <selection activeCell="A41" sqref="A41:XFD42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203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46082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02"/>
      <c r="J11" s="470"/>
      <c r="K11" s="470"/>
    </row>
    <row r="12" spans="1:11" x14ac:dyDescent="0.25">
      <c r="A12" s="9">
        <v>14</v>
      </c>
      <c r="B12" s="10">
        <v>3</v>
      </c>
      <c r="C12" s="138" t="s">
        <v>227</v>
      </c>
      <c r="D12" s="9">
        <v>14</v>
      </c>
      <c r="E12" s="10">
        <v>3</v>
      </c>
      <c r="F12" s="138" t="s">
        <v>206</v>
      </c>
      <c r="G12" s="12">
        <v>0.5</v>
      </c>
      <c r="H12" s="272">
        <v>80166</v>
      </c>
      <c r="I12" s="14">
        <f t="shared" ref="I12" si="0">H12*G12</f>
        <v>40083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301"/>
      <c r="K13" s="301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01"/>
      <c r="K14" s="301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01"/>
      <c r="K15" s="301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01"/>
      <c r="K16" s="301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40083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233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231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A6:I6"/>
    <mergeCell ref="J6:K6"/>
    <mergeCell ref="A1:K2"/>
    <mergeCell ref="A3:K3"/>
    <mergeCell ref="A4:K4"/>
    <mergeCell ref="A5:I5"/>
    <mergeCell ref="J5:K5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A25:B25"/>
    <mergeCell ref="C25:D25"/>
    <mergeCell ref="E25:H25"/>
    <mergeCell ref="J25:K25"/>
    <mergeCell ref="A26:B26"/>
    <mergeCell ref="C26:D26"/>
    <mergeCell ref="E26:H26"/>
    <mergeCell ref="J26:K26"/>
    <mergeCell ref="A27:B27"/>
    <mergeCell ref="C27:D27"/>
    <mergeCell ref="E27:H27"/>
    <mergeCell ref="J27:K27"/>
    <mergeCell ref="A28:B28"/>
    <mergeCell ref="C28:D28"/>
    <mergeCell ref="E28:H28"/>
    <mergeCell ref="J28:K28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</mergeCells>
  <pageMargins left="0.7" right="0.7" top="0.75" bottom="0.75" header="0.3" footer="0.3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16" workbookViewId="0">
      <selection activeCell="A5" sqref="A5:I5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205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46143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13"/>
      <c r="J11" s="470"/>
      <c r="K11" s="470"/>
    </row>
    <row r="12" spans="1:11" x14ac:dyDescent="0.25">
      <c r="A12" s="18">
        <v>4</v>
      </c>
      <c r="B12" s="10">
        <v>5</v>
      </c>
      <c r="C12" s="138" t="s">
        <v>270</v>
      </c>
      <c r="D12" s="9">
        <v>4</v>
      </c>
      <c r="E12" s="10">
        <v>5</v>
      </c>
      <c r="F12" s="138" t="s">
        <v>271</v>
      </c>
      <c r="G12" s="12">
        <v>0.5</v>
      </c>
      <c r="H12" s="272">
        <v>83166</v>
      </c>
      <c r="I12" s="14">
        <v>41583</v>
      </c>
      <c r="J12" s="469"/>
      <c r="K12" s="469"/>
    </row>
    <row r="13" spans="1:11" x14ac:dyDescent="0.25">
      <c r="A13" s="9">
        <v>17</v>
      </c>
      <c r="B13" s="10">
        <v>5</v>
      </c>
      <c r="C13" s="138" t="s">
        <v>282</v>
      </c>
      <c r="D13" s="19">
        <v>17</v>
      </c>
      <c r="E13" s="10">
        <v>5</v>
      </c>
      <c r="F13" s="138" t="s">
        <v>275</v>
      </c>
      <c r="G13" s="12">
        <v>0.5</v>
      </c>
      <c r="H13" s="272">
        <v>83166</v>
      </c>
      <c r="I13" s="14">
        <v>41583</v>
      </c>
      <c r="J13" s="312"/>
      <c r="K13" s="312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12"/>
      <c r="K14" s="312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12"/>
      <c r="K15" s="312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12"/>
      <c r="K16" s="312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83166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310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ht="13.5" customHeight="1" x14ac:dyDescent="0.25">
      <c r="A38" s="458" t="s">
        <v>291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A6:I6"/>
    <mergeCell ref="J6:K6"/>
    <mergeCell ref="A1:K2"/>
    <mergeCell ref="A3:K3"/>
    <mergeCell ref="A4:K4"/>
    <mergeCell ref="A5:I5"/>
    <mergeCell ref="J5:K5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A25:B25"/>
    <mergeCell ref="C25:D25"/>
    <mergeCell ref="E25:H25"/>
    <mergeCell ref="J25:K25"/>
    <mergeCell ref="A26:B26"/>
    <mergeCell ref="C26:D26"/>
    <mergeCell ref="E26:H26"/>
    <mergeCell ref="J26:K26"/>
    <mergeCell ref="A27:B27"/>
    <mergeCell ref="C27:D27"/>
    <mergeCell ref="E27:H27"/>
    <mergeCell ref="J27:K27"/>
    <mergeCell ref="A28:B28"/>
    <mergeCell ref="C28:D28"/>
    <mergeCell ref="E28:H28"/>
    <mergeCell ref="J28:K28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</mergeCells>
  <pageMargins left="0.7" right="0.7" top="0.75" bottom="0.75" header="0.3" footer="0.3"/>
  <pageSetup paperSize="9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19" workbookViewId="0">
      <selection activeCell="I38" sqref="A38:XFD38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221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46113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22"/>
      <c r="J11" s="470"/>
      <c r="K11" s="470"/>
    </row>
    <row r="12" spans="1:11" x14ac:dyDescent="0.25">
      <c r="A12" s="9">
        <v>19</v>
      </c>
      <c r="B12" s="10">
        <v>4</v>
      </c>
      <c r="C12" s="138" t="s">
        <v>250</v>
      </c>
      <c r="D12" s="9">
        <v>19</v>
      </c>
      <c r="E12" s="10">
        <v>4</v>
      </c>
      <c r="F12" s="138" t="s">
        <v>251</v>
      </c>
      <c r="G12" s="12">
        <v>0.5</v>
      </c>
      <c r="H12" s="272">
        <v>81166</v>
      </c>
      <c r="I12" s="14">
        <f t="shared" ref="I12" si="0">H12*G12</f>
        <v>40583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321"/>
      <c r="K13" s="321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21"/>
      <c r="K14" s="321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21"/>
      <c r="K15" s="321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21"/>
      <c r="K16" s="321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40583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263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264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topLeftCell="A7" workbookViewId="0">
      <selection activeCell="A9" sqref="A9:K9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308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46143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27"/>
      <c r="J11" s="470"/>
      <c r="K11" s="470"/>
    </row>
    <row r="12" spans="1:11" x14ac:dyDescent="0.25">
      <c r="A12" s="9">
        <v>22</v>
      </c>
      <c r="B12" s="10">
        <v>5</v>
      </c>
      <c r="C12" s="138" t="s">
        <v>249</v>
      </c>
      <c r="D12" s="19">
        <v>23</v>
      </c>
      <c r="E12" s="10">
        <v>5</v>
      </c>
      <c r="F12" s="138" t="s">
        <v>248</v>
      </c>
      <c r="G12" s="12">
        <v>0.5</v>
      </c>
      <c r="H12" s="272">
        <v>83166</v>
      </c>
      <c r="I12" s="14">
        <f t="shared" ref="I12" si="0">H12*G12</f>
        <v>41583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326"/>
      <c r="K13" s="326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26"/>
      <c r="K14" s="326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26"/>
      <c r="K15" s="326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26"/>
      <c r="K16" s="326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41583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309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291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A6:I6"/>
    <mergeCell ref="J6:K6"/>
    <mergeCell ref="A1:K2"/>
    <mergeCell ref="A3:K3"/>
    <mergeCell ref="A4:K4"/>
    <mergeCell ref="A5:I5"/>
    <mergeCell ref="J5:K5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A25:B25"/>
    <mergeCell ref="C25:D25"/>
    <mergeCell ref="E25:H25"/>
    <mergeCell ref="J25:K25"/>
    <mergeCell ref="A26:B26"/>
    <mergeCell ref="C26:D26"/>
    <mergeCell ref="E26:H26"/>
    <mergeCell ref="J26:K26"/>
    <mergeCell ref="A27:B27"/>
    <mergeCell ref="C27:D27"/>
    <mergeCell ref="E27:H27"/>
    <mergeCell ref="J27:K27"/>
    <mergeCell ref="A28:B28"/>
    <mergeCell ref="C28:D28"/>
    <mergeCell ref="E28:H28"/>
    <mergeCell ref="J28:K28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</mergeCells>
  <pageMargins left="0.7" right="0.7" top="0.75" bottom="0.75" header="0.3" footer="0.3"/>
  <pageSetup paperSize="9"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6"/>
  <sheetViews>
    <sheetView workbookViewId="0">
      <selection activeCell="B35" sqref="A35:XFD35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222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46054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22"/>
      <c r="J11" s="470"/>
      <c r="K11" s="470"/>
    </row>
    <row r="12" spans="1:11" x14ac:dyDescent="0.25">
      <c r="A12" s="9">
        <v>17</v>
      </c>
      <c r="B12" s="10">
        <v>2</v>
      </c>
      <c r="C12" s="138" t="s">
        <v>187</v>
      </c>
      <c r="D12" s="24">
        <v>17</v>
      </c>
      <c r="E12" s="10">
        <v>2</v>
      </c>
      <c r="F12" s="138" t="s">
        <v>191</v>
      </c>
      <c r="G12" s="12">
        <v>0.5</v>
      </c>
      <c r="H12" s="272">
        <v>72808</v>
      </c>
      <c r="I12" s="14">
        <v>36404</v>
      </c>
      <c r="J12" s="469"/>
      <c r="K12" s="469"/>
    </row>
    <row r="13" spans="1:11" x14ac:dyDescent="0.25">
      <c r="A13" s="9">
        <v>23</v>
      </c>
      <c r="B13" s="10">
        <v>2</v>
      </c>
      <c r="C13" s="138" t="s">
        <v>188</v>
      </c>
      <c r="D13" s="9">
        <v>23</v>
      </c>
      <c r="E13" s="10">
        <v>2</v>
      </c>
      <c r="F13" s="138" t="s">
        <v>189</v>
      </c>
      <c r="G13" s="12">
        <v>0.5</v>
      </c>
      <c r="H13" s="272">
        <v>72808</v>
      </c>
      <c r="I13" s="14">
        <v>36404</v>
      </c>
      <c r="J13" s="321"/>
      <c r="K13" s="321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21"/>
      <c r="K14" s="321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21"/>
      <c r="K15" s="321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21"/>
      <c r="K16" s="321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72808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223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219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K46"/>
  <sheetViews>
    <sheetView topLeftCell="A13" workbookViewId="0">
      <selection activeCell="A39" sqref="A39:B40"/>
    </sheetView>
  </sheetViews>
  <sheetFormatPr baseColWidth="10" defaultRowHeight="15" x14ac:dyDescent="0.25"/>
  <cols>
    <col min="1" max="1" width="4" style="228" customWidth="1"/>
    <col min="2" max="2" width="5.5703125" style="228" customWidth="1"/>
    <col min="3" max="3" width="6.7109375" style="228" customWidth="1"/>
    <col min="4" max="4" width="6.140625" style="228" customWidth="1"/>
    <col min="5" max="5" width="5.42578125" style="228" customWidth="1"/>
    <col min="6" max="6" width="6.42578125" style="228" customWidth="1"/>
    <col min="7" max="7" width="5.85546875" style="228" customWidth="1"/>
    <col min="8" max="8" width="11.85546875" style="228" customWidth="1"/>
    <col min="9" max="9" width="15" style="228" customWidth="1"/>
    <col min="10" max="10" width="6" style="228" customWidth="1"/>
    <col min="11" max="11" width="9.7109375" style="228" customWidth="1"/>
  </cols>
  <sheetData>
    <row r="1" spans="1:1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x14ac:dyDescent="0.25">
      <c r="A5" s="429" t="s">
        <v>266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x14ac:dyDescent="0.25">
      <c r="A6" s="429" t="s">
        <v>147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x14ac:dyDescent="0.25">
      <c r="A7" s="426" t="s">
        <v>196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x14ac:dyDescent="0.25">
      <c r="A8" s="463">
        <v>46113</v>
      </c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x14ac:dyDescent="0.25">
      <c r="A9" s="415"/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338"/>
      <c r="J11" s="470"/>
      <c r="K11" s="470"/>
    </row>
    <row r="12" spans="1:11" x14ac:dyDescent="0.25">
      <c r="A12" s="9">
        <v>29</v>
      </c>
      <c r="B12" s="10">
        <v>4</v>
      </c>
      <c r="C12" s="138" t="s">
        <v>254</v>
      </c>
      <c r="D12" s="19">
        <v>29</v>
      </c>
      <c r="E12" s="10">
        <v>4</v>
      </c>
      <c r="F12" s="138" t="s">
        <v>186</v>
      </c>
      <c r="G12" s="12">
        <v>0.5</v>
      </c>
      <c r="H12" s="272">
        <v>81166</v>
      </c>
      <c r="I12" s="14">
        <f t="shared" ref="I12" si="0">H12*G12</f>
        <v>40583</v>
      </c>
      <c r="J12" s="469"/>
      <c r="K12" s="469"/>
    </row>
    <row r="13" spans="1:1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336"/>
      <c r="K13" s="336"/>
    </row>
    <row r="14" spans="1:11" x14ac:dyDescent="0.25">
      <c r="A14" s="9"/>
      <c r="B14" s="10"/>
      <c r="C14" s="138"/>
      <c r="D14" s="19"/>
      <c r="E14" s="10"/>
      <c r="F14" s="138"/>
      <c r="G14" s="12"/>
      <c r="H14" s="13"/>
      <c r="I14" s="14"/>
      <c r="J14" s="336"/>
      <c r="K14" s="336"/>
    </row>
    <row r="15" spans="1:11" x14ac:dyDescent="0.25">
      <c r="A15" s="9"/>
      <c r="B15" s="10"/>
      <c r="C15" s="138"/>
      <c r="D15" s="18"/>
      <c r="E15" s="10"/>
      <c r="F15" s="138"/>
      <c r="G15" s="12"/>
      <c r="H15" s="13"/>
      <c r="I15" s="14"/>
      <c r="J15" s="336"/>
      <c r="K15" s="336"/>
    </row>
    <row r="16" spans="1:11" x14ac:dyDescent="0.25">
      <c r="A16" s="9"/>
      <c r="B16" s="10"/>
      <c r="C16" s="138"/>
      <c r="D16" s="9"/>
      <c r="E16" s="10"/>
      <c r="F16" s="138"/>
      <c r="G16" s="12"/>
      <c r="H16" s="13"/>
      <c r="I16" s="14"/>
      <c r="J16" s="336"/>
      <c r="K16" s="336"/>
    </row>
    <row r="17" spans="1:1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40583</v>
      </c>
      <c r="J31" s="469"/>
      <c r="K31" s="469"/>
    </row>
    <row r="32" spans="1:1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x14ac:dyDescent="0.25">
      <c r="A35" s="156" t="s">
        <v>267</v>
      </c>
      <c r="B35" s="156"/>
      <c r="C35" s="156"/>
      <c r="D35" s="156"/>
      <c r="E35" s="156"/>
      <c r="F35" s="156"/>
      <c r="G35" s="156"/>
      <c r="H35" s="156"/>
      <c r="I35" s="156"/>
      <c r="J35" s="86"/>
      <c r="K35" s="86"/>
    </row>
    <row r="36" spans="1:1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x14ac:dyDescent="0.25">
      <c r="A38" s="458" t="s">
        <v>257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69">
    <mergeCell ref="J43:K43"/>
    <mergeCell ref="I44:K44"/>
    <mergeCell ref="I45:K45"/>
    <mergeCell ref="A39:B40"/>
    <mergeCell ref="C39:H40"/>
    <mergeCell ref="I39:K39"/>
    <mergeCell ref="I40:K40"/>
    <mergeCell ref="I41:K41"/>
    <mergeCell ref="J42:K42"/>
    <mergeCell ref="A38:H38"/>
    <mergeCell ref="I38:K38"/>
    <mergeCell ref="A29:B29"/>
    <mergeCell ref="C29:D29"/>
    <mergeCell ref="E29:H29"/>
    <mergeCell ref="J29:K29"/>
    <mergeCell ref="A30:B30"/>
    <mergeCell ref="C30:D30"/>
    <mergeCell ref="E30:H30"/>
    <mergeCell ref="J30:K30"/>
    <mergeCell ref="A31:H33"/>
    <mergeCell ref="J31:K33"/>
    <mergeCell ref="J36:K36"/>
    <mergeCell ref="A37:H37"/>
    <mergeCell ref="I37:K37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K46"/>
  <sheetViews>
    <sheetView topLeftCell="A7" workbookViewId="0">
      <selection activeCell="Q33" sqref="Q33"/>
    </sheetView>
  </sheetViews>
  <sheetFormatPr baseColWidth="10" defaultRowHeight="15" x14ac:dyDescent="0.25"/>
  <cols>
    <col min="1" max="1" width="4" customWidth="1"/>
    <col min="2" max="2" width="5.5703125" customWidth="1"/>
    <col min="3" max="3" width="6.7109375" customWidth="1"/>
    <col min="4" max="4" width="6.140625" customWidth="1"/>
    <col min="5" max="5" width="5.42578125" customWidth="1"/>
    <col min="6" max="6" width="6.42578125" customWidth="1"/>
    <col min="7" max="7" width="5.85546875" customWidth="1"/>
    <col min="8" max="8" width="11.85546875" customWidth="1"/>
    <col min="9" max="9" width="12" customWidth="1"/>
    <col min="10" max="10" width="6" customWidth="1"/>
    <col min="11" max="11" width="9.7109375" customWidth="1"/>
  </cols>
  <sheetData>
    <row r="1" spans="1:11" ht="19.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9.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ht="19.5" customHeight="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ht="19.5" customHeight="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ht="19.5" customHeight="1" x14ac:dyDescent="0.25">
      <c r="A5" s="429" t="s">
        <v>105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ht="19.5" customHeight="1" x14ac:dyDescent="0.25">
      <c r="A6" s="429" t="s">
        <v>65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ht="19.5" customHeight="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ht="19.5" customHeight="1" x14ac:dyDescent="0.25">
      <c r="A8" s="406"/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ht="19.5" customHeight="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ht="18" customHeight="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ht="18" customHeight="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152"/>
      <c r="J11" s="470"/>
      <c r="K11" s="470"/>
    </row>
    <row r="12" spans="1:11" ht="18" customHeight="1" x14ac:dyDescent="0.25">
      <c r="A12" s="18">
        <v>3</v>
      </c>
      <c r="B12" s="10">
        <v>2</v>
      </c>
      <c r="C12" s="138" t="s">
        <v>75</v>
      </c>
      <c r="D12" s="19">
        <v>2</v>
      </c>
      <c r="E12" s="10">
        <v>2</v>
      </c>
      <c r="F12" s="139" t="s">
        <v>70</v>
      </c>
      <c r="G12" s="12">
        <v>0.25</v>
      </c>
      <c r="H12" s="13">
        <v>60845</v>
      </c>
      <c r="I12" s="14">
        <f t="shared" ref="I12" si="0">H12*G12</f>
        <v>15211.25</v>
      </c>
      <c r="J12" s="469"/>
      <c r="K12" s="469"/>
    </row>
    <row r="13" spans="1:11" ht="18" customHeight="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151"/>
      <c r="K13" s="151"/>
    </row>
    <row r="14" spans="1:11" ht="18" customHeight="1" x14ac:dyDescent="0.25">
      <c r="A14" s="9"/>
      <c r="B14" s="8"/>
      <c r="C14" s="11"/>
      <c r="D14" s="19"/>
      <c r="E14" s="8"/>
      <c r="F14" s="11"/>
      <c r="G14" s="12"/>
      <c r="H14" s="13"/>
      <c r="I14" s="14"/>
      <c r="J14" s="151"/>
      <c r="K14" s="151"/>
    </row>
    <row r="15" spans="1:11" ht="18" customHeight="1" x14ac:dyDescent="0.25">
      <c r="A15" s="9"/>
      <c r="B15" s="8"/>
      <c r="C15" s="11"/>
      <c r="D15" s="19"/>
      <c r="E15" s="8"/>
      <c r="F15" s="20"/>
      <c r="G15" s="118"/>
      <c r="H15" s="13"/>
      <c r="I15" s="71"/>
      <c r="J15" s="151"/>
      <c r="K15" s="151"/>
    </row>
    <row r="16" spans="1:11" ht="18" customHeight="1" x14ac:dyDescent="0.25">
      <c r="A16" s="9"/>
      <c r="B16" s="8"/>
      <c r="C16" s="11"/>
      <c r="D16" s="19"/>
      <c r="E16" s="8"/>
      <c r="F16" s="11"/>
      <c r="G16" s="118"/>
      <c r="H16" s="13"/>
      <c r="I16" s="14"/>
      <c r="J16" s="151"/>
      <c r="K16" s="151"/>
    </row>
    <row r="17" spans="1:11" ht="18" customHeight="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ht="18" customHeight="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ht="18" customHeight="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ht="18" customHeight="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ht="18" customHeight="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ht="18" customHeight="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ht="18" customHeight="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ht="18" customHeight="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ht="18" customHeight="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ht="18" customHeight="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ht="18" customHeight="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ht="18" customHeight="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ht="18" customHeight="1" x14ac:dyDescent="0.25">
      <c r="A29" s="478"/>
      <c r="B29" s="478"/>
      <c r="C29" s="478"/>
      <c r="D29" s="478"/>
      <c r="E29" s="478"/>
      <c r="F29" s="478"/>
      <c r="G29" s="478"/>
      <c r="H29" s="478"/>
      <c r="I29" s="155"/>
      <c r="J29" s="478"/>
      <c r="K29" s="478"/>
    </row>
    <row r="30" spans="1:11" ht="18" customHeight="1" x14ac:dyDescent="0.25">
      <c r="A30" s="479"/>
      <c r="B30" s="479"/>
      <c r="C30" s="479"/>
      <c r="D30" s="479"/>
      <c r="E30" s="479"/>
      <c r="F30" s="479"/>
      <c r="G30" s="479"/>
      <c r="H30" s="479"/>
      <c r="I30" s="176"/>
      <c r="J30" s="479"/>
      <c r="K30" s="479"/>
    </row>
    <row r="31" spans="1:11" ht="18" customHeight="1" x14ac:dyDescent="0.25">
      <c r="A31" s="456"/>
      <c r="B31" s="456"/>
      <c r="C31" s="456"/>
      <c r="D31" s="456"/>
      <c r="E31" s="480" t="s">
        <v>37</v>
      </c>
      <c r="F31" s="481"/>
      <c r="G31" s="481"/>
      <c r="H31" s="482"/>
      <c r="I31" s="177">
        <f>SUM(I12:I30)</f>
        <v>15211.25</v>
      </c>
      <c r="J31" s="479"/>
      <c r="K31" s="479"/>
    </row>
    <row r="32" spans="1:11" ht="18" customHeight="1" x14ac:dyDescent="0.25">
      <c r="A32" s="456"/>
      <c r="B32" s="456"/>
      <c r="C32" s="456"/>
      <c r="D32" s="456"/>
      <c r="E32" s="456"/>
      <c r="F32" s="456"/>
      <c r="G32" s="456"/>
      <c r="H32" s="456"/>
      <c r="I32" s="175"/>
      <c r="J32" s="456"/>
      <c r="K32" s="456"/>
    </row>
    <row r="33" spans="1:11" ht="18" customHeight="1" x14ac:dyDescent="0.25">
      <c r="A33" s="456"/>
      <c r="B33" s="456"/>
      <c r="C33" s="456"/>
      <c r="D33" s="456"/>
      <c r="E33" s="456"/>
      <c r="F33" s="456"/>
      <c r="G33" s="456"/>
      <c r="H33" s="456"/>
      <c r="I33" s="175"/>
      <c r="J33" s="456"/>
      <c r="K33" s="456"/>
    </row>
    <row r="34" spans="1:11" ht="18" customHeight="1" x14ac:dyDescent="0.25">
      <c r="A34" s="86"/>
      <c r="B34" s="86"/>
      <c r="C34" s="86"/>
      <c r="D34" s="86"/>
      <c r="E34" s="110"/>
      <c r="F34" s="110"/>
      <c r="G34" s="110"/>
      <c r="H34" s="110"/>
      <c r="I34" s="110"/>
      <c r="J34" s="110"/>
      <c r="K34" s="110"/>
    </row>
    <row r="35" spans="1:11" ht="18" customHeight="1" x14ac:dyDescent="0.25">
      <c r="A35" s="483" t="s">
        <v>108</v>
      </c>
      <c r="B35" s="483"/>
      <c r="C35" s="483"/>
      <c r="D35" s="483"/>
      <c r="E35" s="483"/>
      <c r="F35" s="483"/>
      <c r="G35" s="483"/>
      <c r="H35" s="483"/>
      <c r="I35" s="483"/>
      <c r="J35" s="86"/>
      <c r="K35" s="86"/>
    </row>
    <row r="36" spans="1:11" ht="18" customHeight="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ht="18" customHeight="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ht="18" customHeight="1" x14ac:dyDescent="0.25">
      <c r="A38" s="458" t="str">
        <f>'ALEJANDRO J'!A41</f>
        <v>SAN CRISTOBAL, JUNIO DE 2026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ht="18" customHeight="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ht="18" customHeight="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ht="18" customHeight="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ht="18" customHeight="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ht="18" customHeight="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ht="18" customHeight="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ht="18" customHeight="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ht="18" customHeight="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80">
    <mergeCell ref="E33:H33"/>
    <mergeCell ref="J33:K33"/>
    <mergeCell ref="I41:K41"/>
    <mergeCell ref="J42:K42"/>
    <mergeCell ref="J43:K43"/>
    <mergeCell ref="A35:I35"/>
    <mergeCell ref="J36:K36"/>
    <mergeCell ref="A37:H37"/>
    <mergeCell ref="I37:K37"/>
    <mergeCell ref="A33:B33"/>
    <mergeCell ref="C33:D33"/>
    <mergeCell ref="I44:K44"/>
    <mergeCell ref="I45:K45"/>
    <mergeCell ref="A38:H38"/>
    <mergeCell ref="I38:K38"/>
    <mergeCell ref="A39:B40"/>
    <mergeCell ref="C39:H40"/>
    <mergeCell ref="I39:K39"/>
    <mergeCell ref="I40:K40"/>
    <mergeCell ref="A31:B31"/>
    <mergeCell ref="C31:D31"/>
    <mergeCell ref="E31:H31"/>
    <mergeCell ref="J31:K31"/>
    <mergeCell ref="A32:B32"/>
    <mergeCell ref="C32:D32"/>
    <mergeCell ref="E32:H32"/>
    <mergeCell ref="J32:K32"/>
    <mergeCell ref="A29:B29"/>
    <mergeCell ref="C29:D29"/>
    <mergeCell ref="E29:H29"/>
    <mergeCell ref="J29:K29"/>
    <mergeCell ref="A30:B30"/>
    <mergeCell ref="C30:D30"/>
    <mergeCell ref="E30:H30"/>
    <mergeCell ref="J30:K30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K46"/>
  <sheetViews>
    <sheetView workbookViewId="0">
      <selection activeCell="O33" sqref="O33"/>
    </sheetView>
  </sheetViews>
  <sheetFormatPr baseColWidth="10" defaultRowHeight="15" x14ac:dyDescent="0.25"/>
  <cols>
    <col min="1" max="1" width="4" customWidth="1"/>
    <col min="2" max="2" width="5.5703125" customWidth="1"/>
    <col min="3" max="3" width="6.7109375" customWidth="1"/>
    <col min="4" max="4" width="6.140625" customWidth="1"/>
    <col min="5" max="5" width="5.42578125" customWidth="1"/>
    <col min="6" max="6" width="6.42578125" customWidth="1"/>
    <col min="7" max="7" width="5.85546875" customWidth="1"/>
    <col min="8" max="8" width="11.85546875" customWidth="1"/>
    <col min="9" max="9" width="12" customWidth="1"/>
    <col min="10" max="10" width="6" customWidth="1"/>
    <col min="11" max="11" width="9.7109375" customWidth="1"/>
  </cols>
  <sheetData>
    <row r="1" spans="1:11" ht="19.5" customHeight="1" x14ac:dyDescent="0.25">
      <c r="A1" s="450" t="s">
        <v>44</v>
      </c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9.5" customHeight="1" x14ac:dyDescent="0.25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5"/>
    </row>
    <row r="3" spans="1:11" ht="19.5" customHeight="1" x14ac:dyDescent="0.25">
      <c r="A3" s="406" t="s">
        <v>45</v>
      </c>
      <c r="B3" s="410"/>
      <c r="C3" s="410"/>
      <c r="D3" s="410"/>
      <c r="E3" s="410"/>
      <c r="F3" s="410"/>
      <c r="G3" s="410"/>
      <c r="H3" s="410"/>
      <c r="I3" s="410"/>
      <c r="J3" s="410"/>
      <c r="K3" s="407"/>
    </row>
    <row r="4" spans="1:11" ht="19.5" customHeight="1" x14ac:dyDescent="0.25">
      <c r="A4" s="429" t="s">
        <v>28</v>
      </c>
      <c r="B4" s="430"/>
      <c r="C4" s="430"/>
      <c r="D4" s="430"/>
      <c r="E4" s="430"/>
      <c r="F4" s="430"/>
      <c r="G4" s="430"/>
      <c r="H4" s="430"/>
      <c r="I4" s="430"/>
      <c r="J4" s="430"/>
      <c r="K4" s="431"/>
    </row>
    <row r="5" spans="1:11" ht="19.5" customHeight="1" x14ac:dyDescent="0.25">
      <c r="A5" s="429" t="s">
        <v>106</v>
      </c>
      <c r="B5" s="430"/>
      <c r="C5" s="430"/>
      <c r="D5" s="430"/>
      <c r="E5" s="430"/>
      <c r="F5" s="430"/>
      <c r="G5" s="430"/>
      <c r="H5" s="430"/>
      <c r="I5" s="431"/>
      <c r="J5" s="406" t="s">
        <v>29</v>
      </c>
      <c r="K5" s="407"/>
    </row>
    <row r="6" spans="1:11" ht="19.5" customHeight="1" x14ac:dyDescent="0.25">
      <c r="A6" s="429" t="s">
        <v>107</v>
      </c>
      <c r="B6" s="430"/>
      <c r="C6" s="430"/>
      <c r="D6" s="430"/>
      <c r="E6" s="430"/>
      <c r="F6" s="430"/>
      <c r="G6" s="430"/>
      <c r="H6" s="430"/>
      <c r="I6" s="431"/>
      <c r="J6" s="432" t="s">
        <v>49</v>
      </c>
      <c r="K6" s="433"/>
    </row>
    <row r="7" spans="1:11" ht="19.5" customHeight="1" x14ac:dyDescent="0.25">
      <c r="A7" s="426" t="s">
        <v>50</v>
      </c>
      <c r="B7" s="427"/>
      <c r="C7" s="427"/>
      <c r="D7" s="427"/>
      <c r="E7" s="427"/>
      <c r="F7" s="427"/>
      <c r="G7" s="427"/>
      <c r="H7" s="427"/>
      <c r="I7" s="428"/>
      <c r="J7" s="64" t="s">
        <v>31</v>
      </c>
      <c r="K7" s="64" t="s">
        <v>32</v>
      </c>
    </row>
    <row r="8" spans="1:11" ht="19.5" customHeight="1" x14ac:dyDescent="0.25">
      <c r="A8" s="406"/>
      <c r="B8" s="410"/>
      <c r="C8" s="410"/>
      <c r="D8" s="410"/>
      <c r="E8" s="410"/>
      <c r="F8" s="410"/>
      <c r="G8" s="410"/>
      <c r="H8" s="410"/>
      <c r="I8" s="407"/>
      <c r="J8" s="65"/>
      <c r="K8" s="65"/>
    </row>
    <row r="9" spans="1:11" ht="19.5" customHeight="1" x14ac:dyDescent="0.25">
      <c r="A9" s="415">
        <f>'ALEJANDRO J'!A6:J6</f>
        <v>0</v>
      </c>
      <c r="B9" s="416"/>
      <c r="C9" s="416"/>
      <c r="D9" s="416"/>
      <c r="E9" s="416"/>
      <c r="F9" s="416"/>
      <c r="G9" s="416"/>
      <c r="H9" s="416"/>
      <c r="I9" s="416"/>
      <c r="J9" s="416"/>
      <c r="K9" s="417"/>
    </row>
    <row r="10" spans="1:11" ht="18" customHeight="1" x14ac:dyDescent="0.25">
      <c r="A10" s="470" t="s">
        <v>2</v>
      </c>
      <c r="B10" s="470"/>
      <c r="C10" s="470"/>
      <c r="D10" s="470" t="s">
        <v>6</v>
      </c>
      <c r="E10" s="470"/>
      <c r="F10" s="470"/>
      <c r="G10" s="470" t="s">
        <v>7</v>
      </c>
      <c r="H10" s="470"/>
      <c r="I10" s="131" t="s">
        <v>10</v>
      </c>
      <c r="J10" s="471" t="s">
        <v>33</v>
      </c>
      <c r="K10" s="471"/>
    </row>
    <row r="11" spans="1:11" ht="18" customHeight="1" x14ac:dyDescent="0.25">
      <c r="A11" s="70" t="s">
        <v>3</v>
      </c>
      <c r="B11" s="70" t="s">
        <v>4</v>
      </c>
      <c r="C11" s="70" t="s">
        <v>5</v>
      </c>
      <c r="D11" s="70" t="s">
        <v>3</v>
      </c>
      <c r="E11" s="70" t="s">
        <v>4</v>
      </c>
      <c r="F11" s="70" t="s">
        <v>5</v>
      </c>
      <c r="G11" s="70" t="s">
        <v>34</v>
      </c>
      <c r="H11" s="70" t="s">
        <v>9</v>
      </c>
      <c r="I11" s="152"/>
      <c r="J11" s="470"/>
      <c r="K11" s="470"/>
    </row>
    <row r="12" spans="1:11" ht="18" customHeight="1" x14ac:dyDescent="0.25">
      <c r="A12" s="9">
        <v>19</v>
      </c>
      <c r="B12" s="10">
        <v>2</v>
      </c>
      <c r="C12" s="138" t="s">
        <v>89</v>
      </c>
      <c r="D12" s="9">
        <v>20</v>
      </c>
      <c r="E12" s="10">
        <v>2</v>
      </c>
      <c r="F12" s="138" t="s">
        <v>90</v>
      </c>
      <c r="G12" s="12">
        <v>0.5</v>
      </c>
      <c r="H12" s="13">
        <v>60845</v>
      </c>
      <c r="I12" s="14">
        <f t="shared" ref="I12" si="0">H12*G12</f>
        <v>30422.5</v>
      </c>
      <c r="J12" s="469"/>
      <c r="K12" s="469"/>
    </row>
    <row r="13" spans="1:11" ht="18" customHeight="1" x14ac:dyDescent="0.25">
      <c r="A13" s="9"/>
      <c r="B13" s="10"/>
      <c r="C13" s="138"/>
      <c r="D13" s="19"/>
      <c r="E13" s="10"/>
      <c r="F13" s="138"/>
      <c r="G13" s="12"/>
      <c r="H13" s="13"/>
      <c r="I13" s="14"/>
      <c r="J13" s="151"/>
      <c r="K13" s="151"/>
    </row>
    <row r="14" spans="1:11" ht="18" customHeight="1" x14ac:dyDescent="0.25">
      <c r="A14" s="9"/>
      <c r="B14" s="8"/>
      <c r="C14" s="11"/>
      <c r="D14" s="19"/>
      <c r="E14" s="8"/>
      <c r="F14" s="11"/>
      <c r="G14" s="12"/>
      <c r="H14" s="13"/>
      <c r="I14" s="14"/>
      <c r="J14" s="151"/>
      <c r="K14" s="151"/>
    </row>
    <row r="15" spans="1:11" ht="18" customHeight="1" x14ac:dyDescent="0.25">
      <c r="A15" s="9"/>
      <c r="B15" s="8"/>
      <c r="C15" s="11"/>
      <c r="D15" s="19"/>
      <c r="E15" s="8"/>
      <c r="F15" s="20"/>
      <c r="G15" s="118"/>
      <c r="H15" s="13"/>
      <c r="I15" s="71"/>
      <c r="J15" s="151"/>
      <c r="K15" s="151"/>
    </row>
    <row r="16" spans="1:11" ht="18" customHeight="1" x14ac:dyDescent="0.25">
      <c r="A16" s="9"/>
      <c r="B16" s="8"/>
      <c r="C16" s="11"/>
      <c r="D16" s="19"/>
      <c r="E16" s="8"/>
      <c r="F16" s="11"/>
      <c r="G16" s="118"/>
      <c r="H16" s="13"/>
      <c r="I16" s="14"/>
      <c r="J16" s="151"/>
      <c r="K16" s="151"/>
    </row>
    <row r="17" spans="1:11" ht="18" customHeight="1" x14ac:dyDescent="0.25">
      <c r="A17" s="119"/>
      <c r="B17" s="119"/>
      <c r="C17" s="120"/>
      <c r="D17" s="119"/>
      <c r="E17" s="119"/>
      <c r="F17" s="120"/>
      <c r="G17" s="119"/>
      <c r="H17" s="121"/>
      <c r="I17" s="122"/>
      <c r="J17" s="469"/>
      <c r="K17" s="469"/>
    </row>
    <row r="18" spans="1:11" ht="18" customHeight="1" x14ac:dyDescent="0.25">
      <c r="A18" s="123"/>
      <c r="B18" s="123"/>
      <c r="C18" s="123"/>
      <c r="D18" s="123"/>
      <c r="E18" s="123"/>
      <c r="F18" s="124"/>
      <c r="G18" s="123"/>
      <c r="H18" s="125"/>
      <c r="I18" s="78"/>
      <c r="J18" s="469"/>
      <c r="K18" s="469"/>
    </row>
    <row r="19" spans="1:11" ht="18" customHeight="1" x14ac:dyDescent="0.25">
      <c r="A19" s="123"/>
      <c r="B19" s="123"/>
      <c r="C19" s="123"/>
      <c r="D19" s="123"/>
      <c r="E19" s="123"/>
      <c r="F19" s="124"/>
      <c r="G19" s="123"/>
      <c r="H19" s="125"/>
      <c r="I19" s="78"/>
      <c r="J19" s="469"/>
      <c r="K19" s="469"/>
    </row>
    <row r="20" spans="1:11" ht="18" customHeight="1" x14ac:dyDescent="0.25">
      <c r="A20" s="123"/>
      <c r="B20" s="123"/>
      <c r="C20" s="123"/>
      <c r="D20" s="123"/>
      <c r="E20" s="123"/>
      <c r="F20" s="124"/>
      <c r="G20" s="123"/>
      <c r="H20" s="125"/>
      <c r="I20" s="78"/>
      <c r="J20" s="469"/>
      <c r="K20" s="469"/>
    </row>
    <row r="21" spans="1:11" ht="18" customHeight="1" x14ac:dyDescent="0.25">
      <c r="A21" s="123"/>
      <c r="B21" s="123"/>
      <c r="C21" s="123"/>
      <c r="D21" s="123"/>
      <c r="E21" s="123"/>
      <c r="F21" s="124"/>
      <c r="G21" s="123"/>
      <c r="H21" s="125"/>
      <c r="I21" s="78"/>
      <c r="J21" s="469"/>
      <c r="K21" s="469"/>
    </row>
    <row r="22" spans="1:11" ht="18" customHeight="1" x14ac:dyDescent="0.25">
      <c r="A22" s="426" t="s">
        <v>51</v>
      </c>
      <c r="B22" s="426"/>
      <c r="C22" s="426"/>
      <c r="D22" s="426"/>
      <c r="E22" s="426"/>
      <c r="F22" s="426"/>
      <c r="G22" s="426"/>
      <c r="H22" s="426"/>
      <c r="I22" s="126"/>
      <c r="J22" s="469"/>
      <c r="K22" s="469"/>
    </row>
    <row r="23" spans="1:11" ht="18" customHeight="1" x14ac:dyDescent="0.25">
      <c r="A23" s="406" t="s">
        <v>21</v>
      </c>
      <c r="B23" s="406"/>
      <c r="C23" s="472" t="s">
        <v>52</v>
      </c>
      <c r="D23" s="472"/>
      <c r="E23" s="407" t="s">
        <v>36</v>
      </c>
      <c r="F23" s="407"/>
      <c r="G23" s="407"/>
      <c r="H23" s="407"/>
      <c r="I23" s="469"/>
      <c r="J23" s="469"/>
      <c r="K23" s="469"/>
    </row>
    <row r="24" spans="1:11" ht="18" customHeight="1" x14ac:dyDescent="0.25">
      <c r="A24" s="406"/>
      <c r="B24" s="406"/>
      <c r="C24" s="473" t="s">
        <v>22</v>
      </c>
      <c r="D24" s="473"/>
      <c r="E24" s="407"/>
      <c r="F24" s="407"/>
      <c r="G24" s="407"/>
      <c r="H24" s="407"/>
      <c r="I24" s="469"/>
      <c r="J24" s="469"/>
      <c r="K24" s="469"/>
    </row>
    <row r="25" spans="1:11" ht="18" customHeight="1" x14ac:dyDescent="0.25">
      <c r="A25" s="474"/>
      <c r="B25" s="469"/>
      <c r="C25" s="475"/>
      <c r="D25" s="475"/>
      <c r="E25" s="469"/>
      <c r="F25" s="469"/>
      <c r="G25" s="469"/>
      <c r="H25" s="469"/>
      <c r="I25" s="78"/>
      <c r="J25" s="469"/>
      <c r="K25" s="469"/>
    </row>
    <row r="26" spans="1:11" ht="18" customHeight="1" x14ac:dyDescent="0.25">
      <c r="A26" s="469"/>
      <c r="B26" s="469"/>
      <c r="C26" s="469"/>
      <c r="D26" s="469"/>
      <c r="E26" s="469"/>
      <c r="F26" s="469"/>
      <c r="G26" s="469"/>
      <c r="H26" s="469"/>
      <c r="I26" s="78"/>
      <c r="J26" s="469"/>
      <c r="K26" s="469"/>
    </row>
    <row r="27" spans="1:11" ht="18" customHeight="1" x14ac:dyDescent="0.25">
      <c r="A27" s="469"/>
      <c r="B27" s="469"/>
      <c r="C27" s="469"/>
      <c r="D27" s="469"/>
      <c r="E27" s="469"/>
      <c r="F27" s="469"/>
      <c r="G27" s="469"/>
      <c r="H27" s="469"/>
      <c r="I27" s="78"/>
      <c r="J27" s="469"/>
      <c r="K27" s="469"/>
    </row>
    <row r="28" spans="1:11" ht="18" customHeight="1" x14ac:dyDescent="0.25">
      <c r="A28" s="469"/>
      <c r="B28" s="469"/>
      <c r="C28" s="469"/>
      <c r="D28" s="469"/>
      <c r="E28" s="469"/>
      <c r="F28" s="469"/>
      <c r="G28" s="469"/>
      <c r="H28" s="469"/>
      <c r="I28" s="78"/>
      <c r="J28" s="469"/>
      <c r="K28" s="469"/>
    </row>
    <row r="29" spans="1:11" ht="18" customHeight="1" x14ac:dyDescent="0.25">
      <c r="A29" s="469"/>
      <c r="B29" s="469"/>
      <c r="C29" s="469"/>
      <c r="D29" s="469"/>
      <c r="E29" s="469"/>
      <c r="F29" s="469"/>
      <c r="G29" s="469"/>
      <c r="H29" s="469"/>
      <c r="I29" s="78"/>
      <c r="J29" s="469"/>
      <c r="K29" s="469"/>
    </row>
    <row r="30" spans="1:11" ht="18" customHeight="1" x14ac:dyDescent="0.25">
      <c r="A30" s="469"/>
      <c r="B30" s="469"/>
      <c r="C30" s="469"/>
      <c r="D30" s="469"/>
      <c r="E30" s="469"/>
      <c r="F30" s="469"/>
      <c r="G30" s="469"/>
      <c r="H30" s="469"/>
      <c r="I30" s="78"/>
      <c r="J30" s="469"/>
      <c r="K30" s="469"/>
    </row>
    <row r="31" spans="1:11" ht="18" customHeight="1" x14ac:dyDescent="0.25">
      <c r="A31" s="476" t="s">
        <v>37</v>
      </c>
      <c r="B31" s="476"/>
      <c r="C31" s="476"/>
      <c r="D31" s="476"/>
      <c r="E31" s="476"/>
      <c r="F31" s="476"/>
      <c r="G31" s="476"/>
      <c r="H31" s="476"/>
      <c r="I31" s="127">
        <f>SUM(I12:I30)</f>
        <v>30422.5</v>
      </c>
      <c r="J31" s="469"/>
      <c r="K31" s="469"/>
    </row>
    <row r="32" spans="1:11" ht="18" customHeight="1" x14ac:dyDescent="0.25">
      <c r="A32" s="476"/>
      <c r="B32" s="476"/>
      <c r="C32" s="476"/>
      <c r="D32" s="476"/>
      <c r="E32" s="476"/>
      <c r="F32" s="476"/>
      <c r="G32" s="476"/>
      <c r="H32" s="476"/>
      <c r="I32" s="128"/>
      <c r="J32" s="469"/>
      <c r="K32" s="469"/>
    </row>
    <row r="33" spans="1:11" ht="18" customHeight="1" x14ac:dyDescent="0.25">
      <c r="A33" s="476"/>
      <c r="B33" s="476"/>
      <c r="C33" s="476"/>
      <c r="D33" s="476"/>
      <c r="E33" s="476"/>
      <c r="F33" s="476"/>
      <c r="G33" s="476"/>
      <c r="H33" s="476"/>
      <c r="I33" s="129"/>
      <c r="J33" s="469"/>
      <c r="K33" s="469"/>
    </row>
    <row r="34" spans="1:11" ht="18" customHeight="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ht="18" customHeight="1" x14ac:dyDescent="0.25">
      <c r="A35" s="483" t="s">
        <v>109</v>
      </c>
      <c r="B35" s="483"/>
      <c r="C35" s="483"/>
      <c r="D35" s="483"/>
      <c r="E35" s="483"/>
      <c r="F35" s="483"/>
      <c r="G35" s="483"/>
      <c r="H35" s="483"/>
      <c r="I35" s="483"/>
      <c r="J35" s="86"/>
      <c r="K35" s="86"/>
    </row>
    <row r="36" spans="1:11" ht="18" customHeight="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456"/>
      <c r="K36" s="456"/>
    </row>
    <row r="37" spans="1:11" ht="18" customHeight="1" x14ac:dyDescent="0.25">
      <c r="A37" s="477" t="s">
        <v>39</v>
      </c>
      <c r="B37" s="477"/>
      <c r="C37" s="477"/>
      <c r="D37" s="477"/>
      <c r="E37" s="477"/>
      <c r="F37" s="477"/>
      <c r="G37" s="477"/>
      <c r="H37" s="477"/>
      <c r="I37" s="389" t="s">
        <v>56</v>
      </c>
      <c r="J37" s="389"/>
      <c r="K37" s="389"/>
    </row>
    <row r="38" spans="1:11" ht="18" customHeight="1" x14ac:dyDescent="0.25">
      <c r="A38" s="458" t="str">
        <f>'ALEJANDRO J'!A41</f>
        <v>SAN CRISTOBAL, JUNIO DE 2026</v>
      </c>
      <c r="B38" s="458"/>
      <c r="C38" s="458"/>
      <c r="D38" s="458"/>
      <c r="E38" s="458"/>
      <c r="F38" s="458"/>
      <c r="G38" s="458"/>
      <c r="H38" s="458"/>
      <c r="I38" s="437" t="s">
        <v>38</v>
      </c>
      <c r="J38" s="437"/>
      <c r="K38" s="437"/>
    </row>
    <row r="39" spans="1:11" ht="18" customHeight="1" x14ac:dyDescent="0.25">
      <c r="A39" s="458"/>
      <c r="B39" s="458"/>
      <c r="C39" s="456"/>
      <c r="D39" s="456"/>
      <c r="E39" s="456"/>
      <c r="F39" s="456"/>
      <c r="G39" s="456"/>
      <c r="H39" s="456"/>
      <c r="I39" s="437"/>
      <c r="J39" s="437"/>
      <c r="K39" s="437"/>
    </row>
    <row r="40" spans="1:11" ht="18" customHeight="1" x14ac:dyDescent="0.25">
      <c r="A40" s="458"/>
      <c r="B40" s="458"/>
      <c r="C40" s="456"/>
      <c r="D40" s="456"/>
      <c r="E40" s="456"/>
      <c r="F40" s="456"/>
      <c r="G40" s="456"/>
      <c r="H40" s="456"/>
      <c r="I40" s="389" t="s">
        <v>56</v>
      </c>
      <c r="J40" s="389"/>
      <c r="K40" s="389"/>
    </row>
    <row r="41" spans="1:11" ht="18" customHeight="1" x14ac:dyDescent="0.25">
      <c r="A41" s="117"/>
      <c r="B41" s="117"/>
      <c r="C41" s="117"/>
      <c r="D41" s="117"/>
      <c r="E41" s="117"/>
      <c r="F41" s="117"/>
      <c r="G41" s="117"/>
      <c r="H41" s="117"/>
      <c r="I41" s="437" t="s">
        <v>40</v>
      </c>
      <c r="J41" s="437"/>
      <c r="K41" s="437"/>
    </row>
    <row r="42" spans="1:11" ht="18" customHeight="1" x14ac:dyDescent="0.25">
      <c r="A42" s="117"/>
      <c r="B42" s="117"/>
      <c r="C42" s="117"/>
      <c r="D42" s="117"/>
      <c r="E42" s="117"/>
      <c r="F42" s="117"/>
      <c r="G42" s="117"/>
      <c r="H42" s="117"/>
      <c r="I42" s="86"/>
      <c r="J42" s="456"/>
      <c r="K42" s="456"/>
    </row>
    <row r="43" spans="1:11" ht="18" customHeight="1" x14ac:dyDescent="0.25">
      <c r="A43" s="130"/>
      <c r="B43" s="117"/>
      <c r="C43" s="115"/>
      <c r="D43" s="115"/>
      <c r="E43" s="115"/>
      <c r="F43" s="115"/>
      <c r="G43" s="115"/>
      <c r="H43" s="115"/>
      <c r="I43" s="86"/>
      <c r="J43" s="456"/>
      <c r="K43" s="456"/>
    </row>
    <row r="44" spans="1:11" ht="18" customHeight="1" x14ac:dyDescent="0.25">
      <c r="A44" s="117"/>
      <c r="B44" s="117"/>
      <c r="C44" s="115"/>
      <c r="D44" s="115"/>
      <c r="E44" s="115"/>
      <c r="F44" s="115"/>
      <c r="G44" s="115"/>
      <c r="H44" s="115"/>
      <c r="I44" s="390"/>
      <c r="J44" s="390"/>
      <c r="K44" s="390"/>
    </row>
    <row r="45" spans="1:11" ht="18" customHeight="1" x14ac:dyDescent="0.25">
      <c r="A45" s="86"/>
      <c r="B45" s="86"/>
      <c r="C45" s="86"/>
      <c r="D45" s="86"/>
      <c r="E45" s="86"/>
      <c r="F45" s="86"/>
      <c r="G45" s="86"/>
      <c r="H45" s="86"/>
      <c r="I45" s="437"/>
      <c r="J45" s="437"/>
      <c r="K45" s="437"/>
    </row>
    <row r="46" spans="1:11" ht="18" customHeight="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</row>
  </sheetData>
  <mergeCells count="70">
    <mergeCell ref="I41:K41"/>
    <mergeCell ref="J42:K42"/>
    <mergeCell ref="J43:K43"/>
    <mergeCell ref="I44:K44"/>
    <mergeCell ref="I45:K45"/>
    <mergeCell ref="A38:H38"/>
    <mergeCell ref="I38:K38"/>
    <mergeCell ref="A39:B40"/>
    <mergeCell ref="C39:H40"/>
    <mergeCell ref="I39:K39"/>
    <mergeCell ref="I40:K40"/>
    <mergeCell ref="A31:H33"/>
    <mergeCell ref="J31:K33"/>
    <mergeCell ref="A35:I35"/>
    <mergeCell ref="J36:K36"/>
    <mergeCell ref="A37:H37"/>
    <mergeCell ref="I37:K37"/>
    <mergeCell ref="A29:B29"/>
    <mergeCell ref="C29:D29"/>
    <mergeCell ref="E29:H29"/>
    <mergeCell ref="J29:K29"/>
    <mergeCell ref="A30:B30"/>
    <mergeCell ref="C30:D30"/>
    <mergeCell ref="E30:H30"/>
    <mergeCell ref="J30:K30"/>
    <mergeCell ref="A27:B27"/>
    <mergeCell ref="C27:D27"/>
    <mergeCell ref="E27:H27"/>
    <mergeCell ref="J27:K27"/>
    <mergeCell ref="A28:B28"/>
    <mergeCell ref="C28:D28"/>
    <mergeCell ref="E28:H28"/>
    <mergeCell ref="J28:K28"/>
    <mergeCell ref="A25:B25"/>
    <mergeCell ref="C25:D25"/>
    <mergeCell ref="E25:H25"/>
    <mergeCell ref="J25:K25"/>
    <mergeCell ref="A26:B26"/>
    <mergeCell ref="C26:D26"/>
    <mergeCell ref="E26:H26"/>
    <mergeCell ref="J26:K26"/>
    <mergeCell ref="J21:K21"/>
    <mergeCell ref="A22:H22"/>
    <mergeCell ref="J22:K22"/>
    <mergeCell ref="A23:B24"/>
    <mergeCell ref="C23:D23"/>
    <mergeCell ref="E23:H24"/>
    <mergeCell ref="I23:I24"/>
    <mergeCell ref="J23:K24"/>
    <mergeCell ref="C24:D24"/>
    <mergeCell ref="J20:K20"/>
    <mergeCell ref="A7:I7"/>
    <mergeCell ref="A8:I8"/>
    <mergeCell ref="A9:K9"/>
    <mergeCell ref="A10:C10"/>
    <mergeCell ref="D10:F10"/>
    <mergeCell ref="G10:H10"/>
    <mergeCell ref="J10:K10"/>
    <mergeCell ref="J11:K11"/>
    <mergeCell ref="J12:K12"/>
    <mergeCell ref="J17:K17"/>
    <mergeCell ref="J18:K18"/>
    <mergeCell ref="J19:K19"/>
    <mergeCell ref="A6:I6"/>
    <mergeCell ref="J6:K6"/>
    <mergeCell ref="A1:K2"/>
    <mergeCell ref="A3:K3"/>
    <mergeCell ref="A4:K4"/>
    <mergeCell ref="A5:I5"/>
    <mergeCell ref="J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52</vt:i4>
      </vt:variant>
      <vt:variant>
        <vt:lpstr>Gráficos</vt:lpstr>
      </vt:variant>
      <vt:variant>
        <vt:i4>1</vt:i4>
      </vt:variant>
    </vt:vector>
  </HeadingPairs>
  <TitlesOfParts>
    <vt:vector size="53" baseType="lpstr">
      <vt:lpstr>LIQUIDACIÓN</vt:lpstr>
      <vt:lpstr>DETALLE</vt:lpstr>
      <vt:lpstr>USPRUNG</vt:lpstr>
      <vt:lpstr>TOLEDO</vt:lpstr>
      <vt:lpstr>LODI</vt:lpstr>
      <vt:lpstr>CURBELA E</vt:lpstr>
      <vt:lpstr>OLIVARES M</vt:lpstr>
      <vt:lpstr>FONTANELLAZ C</vt:lpstr>
      <vt:lpstr>ALEJANDRO J</vt:lpstr>
      <vt:lpstr>MATEOS</vt:lpstr>
      <vt:lpstr>RAMA M</vt:lpstr>
      <vt:lpstr>MATEOS J C</vt:lpstr>
      <vt:lpstr>LAGGER H</vt:lpstr>
      <vt:lpstr>TREJO</vt:lpstr>
      <vt:lpstr>AVALOS</vt:lpstr>
      <vt:lpstr>MIRANDA</vt:lpstr>
      <vt:lpstr>YEATES</vt:lpstr>
      <vt:lpstr>CANEPA</vt:lpstr>
      <vt:lpstr>BARBAGLIA L</vt:lpstr>
      <vt:lpstr>ORIETA</vt:lpstr>
      <vt:lpstr>ORDOÑEZ S</vt:lpstr>
      <vt:lpstr>RAMIREZ</vt:lpstr>
      <vt:lpstr>LOPEZE</vt:lpstr>
      <vt:lpstr>ACEBAL</vt:lpstr>
      <vt:lpstr>LOPEZ </vt:lpstr>
      <vt:lpstr> AVALOS VER</vt:lpstr>
      <vt:lpstr>OVIEDO R</vt:lpstr>
      <vt:lpstr>MIRANDA S</vt:lpstr>
      <vt:lpstr>VIVIANI</vt:lpstr>
      <vt:lpstr>MUGA</vt:lpstr>
      <vt:lpstr>DOBANTON</vt:lpstr>
      <vt:lpstr>BERTUZZI S</vt:lpstr>
      <vt:lpstr>DIAZ BELEN</vt:lpstr>
      <vt:lpstr>BORSINI</vt:lpstr>
      <vt:lpstr>CATTANEO</vt:lpstr>
      <vt:lpstr>CROISANT</vt:lpstr>
      <vt:lpstr>BACAJIMENEZ</vt:lpstr>
      <vt:lpstr>DE NAPOLI</vt:lpstr>
      <vt:lpstr>ARGAÑARAZ</vt:lpstr>
      <vt:lpstr>AMBROSINI</vt:lpstr>
      <vt:lpstr>FERNANDEZ N</vt:lpstr>
      <vt:lpstr>NICOLA</vt:lpstr>
      <vt:lpstr>SUAREZ</vt:lpstr>
      <vt:lpstr>EYVASTRE</vt:lpstr>
      <vt:lpstr>OBATTA</vt:lpstr>
      <vt:lpstr>VASCHUK</vt:lpstr>
      <vt:lpstr>CRESPO</vt:lpstr>
      <vt:lpstr>PORTILLO</vt:lpstr>
      <vt:lpstr>LOPEZ A</vt:lpstr>
      <vt:lpstr>IMHOFF ANA</vt:lpstr>
      <vt:lpstr>LOPEZ ALEJANDRA</vt:lpstr>
      <vt:lpstr>ALVAREZ</vt:lpstr>
      <vt:lpstr>Gráfico1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Mariela</cp:lastModifiedBy>
  <cp:lastPrinted>2026-08-10T13:15:20Z</cp:lastPrinted>
  <dcterms:created xsi:type="dcterms:W3CDTF">2024-10-07T14:44:44Z</dcterms:created>
  <dcterms:modified xsi:type="dcterms:W3CDTF">2026-08-10T13:16:01Z</dcterms:modified>
</cp:coreProperties>
</file>